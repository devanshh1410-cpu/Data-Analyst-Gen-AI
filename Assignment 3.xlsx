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Ques 1" sheetId="1" r:id="rId1"/>
    <sheet name="Ques 2" sheetId="9" r:id="rId2"/>
    <sheet name="Ques 3" sheetId="3" r:id="rId3"/>
    <sheet name="Ques 4" sheetId="4" r:id="rId4"/>
    <sheet name="Ques 5" sheetId="5" r:id="rId5"/>
    <sheet name="Ques 6" sheetId="6" r:id="rId6"/>
    <sheet name="Ques 7" sheetId="7" r:id="rId7"/>
    <sheet name="Ques 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<sst xmlns="http://schemas.openxmlformats.org/spreadsheetml/2006/main" count="76" uniqueCount="62">
  <si>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Ques 1 : Write a formula to check if the marks in cell are greater than or equal to 40. If yes, return , otherwise 
.
B2 "Pass"
"Fail"</t>
  </si>
  <si>
    <t>Student Name</t>
  </si>
  <si>
    <t>Marks</t>
  </si>
  <si>
    <t>RESULT</t>
  </si>
  <si>
    <t>Riya</t>
  </si>
  <si>
    <t xml:space="preserve">Siya </t>
  </si>
  <si>
    <t>Raju</t>
  </si>
  <si>
    <t>Rahul</t>
  </si>
  <si>
    <t>Ram</t>
  </si>
  <si>
    <t xml:space="preserve">Ques 2: A company gives a bonus  if sales are above 40,000 and attendance is greater than or equal to 90%. Write a formula to calculate whether the employee will get a bonus or not .														</t>
  </si>
  <si>
    <t>EMPLOYEE</t>
  </si>
  <si>
    <t>SALES</t>
  </si>
  <si>
    <t>ATTENDENCE</t>
  </si>
  <si>
    <t xml:space="preserve">RESULT </t>
  </si>
  <si>
    <t>Arjun</t>
  </si>
  <si>
    <t>Simran</t>
  </si>
  <si>
    <t>Rohit</t>
  </si>
  <si>
    <t>Anjali</t>
  </si>
  <si>
    <t>Ques 3: Write a nested IF formula: If marks in are ≥ 90 →A , ≥ 75 →B , ≥ 50 →C , otherwise .</t>
  </si>
  <si>
    <t>StudentName</t>
  </si>
  <si>
    <t>Column1</t>
  </si>
  <si>
    <t>Raj</t>
  </si>
  <si>
    <t>Neha</t>
  </si>
  <si>
    <t>Vivek</t>
  </si>
  <si>
    <t>Rani</t>
  </si>
  <si>
    <t>Sneha</t>
  </si>
  <si>
    <t>Ques 4: Find the Department of Employee ID = E103. Also explain which LOOKUP function is used and why?</t>
  </si>
  <si>
    <t>EmpID</t>
  </si>
  <si>
    <t>Name</t>
  </si>
  <si>
    <t>Department</t>
  </si>
  <si>
    <t>E101</t>
  </si>
  <si>
    <t>IT</t>
  </si>
  <si>
    <t>E102</t>
  </si>
  <si>
    <t>HR</t>
  </si>
  <si>
    <t>E103</t>
  </si>
  <si>
    <t>Rashmi</t>
  </si>
  <si>
    <t>Finance</t>
  </si>
  <si>
    <t>E104</t>
  </si>
  <si>
    <t>Sejal</t>
  </si>
  <si>
    <t>Sales</t>
  </si>
  <si>
    <r>
      <rPr>
        <sz val="14"/>
        <color rgb="FF000000"/>
        <rFont val="Calibri"/>
        <charset val="134"/>
      </rPr>
      <t xml:space="preserve">Here , we have used a </t>
    </r>
    <r>
      <rPr>
        <b/>
        <i/>
        <sz val="14"/>
        <color rgb="FF000000"/>
        <rFont val="Calibri"/>
        <charset val="134"/>
      </rPr>
      <t>vertical lookup function</t>
    </r>
    <r>
      <rPr>
        <sz val="14"/>
        <color rgb="FF000000"/>
        <rFont val="Calibri"/>
        <charset val="134"/>
      </rPr>
      <t xml:space="preserve"> as the data we need is in a EmpID and is the most suitable to use</t>
    </r>
  </si>
  <si>
    <t>Ques 5 : A company has set the following commission structure for its sales team:</t>
  </si>
  <si>
    <t>Sales Amount</t>
  </si>
  <si>
    <t>Commission Rate</t>
  </si>
  <si>
    <t>Commission rate for 45000</t>
  </si>
  <si>
    <t xml:space="preserve">If a salesperson achieves sales of ₹45,000, use the VLOOKUP function to determine the commission rate </t>
  </si>
  <si>
    <t>Ques 6: The HR department maintains the following leave records of employees: bonus or not .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</si>
  <si>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</si>
  <si>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</si>
  <si>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</si>
  <si>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</si>
  <si>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</si>
  <si>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</si>
  <si>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
If Leaves Taken &gt; Allowed Leaves, display "Exceeded".
Otherwise, display "OK".</t>
  </si>
  <si>
    <t>Ques 7: Find the salary of EmpID = E105 using INDEX-MATCH Function.</t>
  </si>
  <si>
    <t>Salary</t>
  </si>
  <si>
    <t>E105</t>
  </si>
  <si>
    <t>E106</t>
  </si>
  <si>
    <t>Ques 8: Use the XLOOKUP function to find the Department of the employee with Emp ID = E303.</t>
  </si>
  <si>
    <t>E303</t>
  </si>
  <si>
    <t>E301</t>
  </si>
  <si>
    <t xml:space="preserve">FINANCE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</si>
</sst>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Aptos Narrow"/>
      <charset val="134"/>
      <scheme val="minor"/>
    </font>
    <font>
      <sz val="16"/>
      <color theme="1"/>
      <name val="Calibri"/>
      <charset val="134"/>
    </font>
    <font>
      <sz val="16"/>
      <color rgb="FF000000"/>
      <name val="Calibri"/>
      <charset val="134"/>
    </font>
    <font>
      <sz val="14"/>
      <color theme="1"/>
      <name val="Calibri"/>
      <charset val="134"/>
    </font>
    <font>
      <sz val="14"/>
      <color rgb="FF000000"/>
      <name val="Calibri"/>
      <charset val="134"/>
    </font>
    <font>
      <sz val="9"/>
      <color rgb="FF0000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4"/>
      <color theme="1"/>
      <name val="Calibri"/>
      <charset val="134"/>
    </font>
    <font>
      <b/>
      <sz val="16"/>
      <color theme="1"/>
      <name val="Calibri"/>
      <charset val="134"/>
    </font>
    <font>
      <b/>
      <sz val="16"/>
      <color theme="1"/>
      <name val="Aptos Narrow"/>
      <charset val="134"/>
      <scheme val="minor"/>
    </font>
    <font>
      <b/>
      <sz val="16"/>
      <color theme="1"/>
      <name val="Calibri"/>
      <charset val="1"/>
    </font>
    <font>
      <b/>
      <sz val="16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i/>
      <sz val="14"/>
      <color rgb="FF00000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6" applyNumberFormat="0" applyAlignment="0" applyProtection="0">
      <alignment vertical="center"/>
    </xf>
    <xf numFmtId="0" fontId="23" fillId="9" borderId="5" applyNumberFormat="0" applyAlignment="0" applyProtection="0">
      <alignment vertical="center"/>
    </xf>
    <xf numFmtId="0" fontId="24" fillId="10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0" xfId="0" applyFont="1" applyFill="1"/>
    <xf numFmtId="0" fontId="2" fillId="2" borderId="0" xfId="0" applyFont="1" applyFill="1" applyAlignment="1"/>
    <xf numFmtId="0" fontId="3" fillId="0" borderId="0" xfId="0" applyFont="1"/>
    <xf numFmtId="0" fontId="0" fillId="3" borderId="0" xfId="0" applyFill="1"/>
    <xf numFmtId="0" fontId="1" fillId="2" borderId="0" xfId="0" applyFont="1" applyFill="1" applyAlignment="1"/>
    <xf numFmtId="0" fontId="4" fillId="0" borderId="0" xfId="0" applyFont="1"/>
    <xf numFmtId="0" fontId="0" fillId="3" borderId="0" xfId="0" applyFill="1" applyAlignment="1">
      <alignment wrapText="1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 applyAlignment="1">
      <alignment horizontal="left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7" fillId="2" borderId="0" xfId="0" applyFont="1" applyFill="1" applyAlignment="1"/>
    <xf numFmtId="0" fontId="8" fillId="0" borderId="0" xfId="0" applyFont="1"/>
    <xf numFmtId="0" fontId="0" fillId="2" borderId="0" xfId="0" applyFill="1"/>
    <xf numFmtId="0" fontId="8" fillId="2" borderId="0" xfId="0" applyFont="1" applyFill="1" applyAlignment="1"/>
    <xf numFmtId="0" fontId="8" fillId="2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9" fontId="3" fillId="0" borderId="0" xfId="0" applyNumberFormat="1" applyFont="1" applyAlignment="1">
      <alignment horizontal="left"/>
    </xf>
    <xf numFmtId="0" fontId="0" fillId="3" borderId="0" xfId="0" applyFill="1" applyAlignment="1"/>
    <xf numFmtId="9" fontId="0" fillId="3" borderId="0" xfId="0" applyNumberFormat="1" applyFill="1"/>
    <xf numFmtId="0" fontId="9" fillId="2" borderId="0" xfId="0" applyFont="1" applyFill="1"/>
    <xf numFmtId="0" fontId="10" fillId="2" borderId="0" xfId="0" applyFont="1" applyFill="1" applyAlignment="1"/>
    <xf numFmtId="0" fontId="4" fillId="3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0" fillId="4" borderId="0" xfId="0" applyFill="1"/>
    <xf numFmtId="3" fontId="0" fillId="0" borderId="0" xfId="0" applyNumberFormat="1"/>
    <xf numFmtId="0" fontId="11" fillId="5" borderId="0" xfId="0" applyFont="1" applyFill="1" applyBorder="1"/>
    <xf numFmtId="0" fontId="11" fillId="3" borderId="0" xfId="0" applyFont="1" applyFill="1" applyBorder="1"/>
    <xf numFmtId="0" fontId="2" fillId="6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name val="Calibri"/>
        <scheme val="none"/>
        <b val="0"/>
        <i val="0"/>
        <strike val="0"/>
        <u val="none"/>
        <sz val="16"/>
        <color rgb="FF000000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6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/>
      </border>
    </dxf>
    <dxf>
      <font>
        <name val="Calibri"/>
        <scheme val="none"/>
        <b val="0"/>
        <i val="0"/>
        <strike val="0"/>
        <u val="none"/>
        <sz val="16"/>
        <color theme="1"/>
      </font>
      <numFmt numFmtId="0" formatCode="General"/>
      <fill>
        <patternFill patternType="solid">
          <bgColor theme="8" tint="0.799981688894314"/>
        </patternFill>
      </fill>
      <border>
        <left/>
        <right/>
        <top style="thin">
          <color theme="4" tint="0.399975585192419"/>
        </top>
        <bottom/>
      </border>
    </dxf>
    <dxf>
      <numFmt numFmtId="3" formatCode="#,##0"/>
    </dxf>
    <dxf>
      <numFmt numFmtId="0" formatCode="General"/>
      <fill>
        <patternFill patternType="solid">
          <bgColor theme="8" tint="0.799981688894314"/>
        </patternFill>
      </fill>
    </dxf>
    <dxf>
      <font>
        <name val="Calibri"/>
        <scheme val="none"/>
        <sz val="14"/>
      </font>
    </dxf>
    <dxf>
      <font>
        <name val="Calibri"/>
        <scheme val="none"/>
        <sz val="14"/>
      </font>
    </dxf>
    <dxf>
      <font>
        <name val="Calibri"/>
        <scheme val="none"/>
        <sz val="14"/>
      </font>
      <numFmt numFmtId="0" formatCode="General"/>
      <fill>
        <patternFill patternType="solid">
          <bgColor theme="8" tint="0.799981688894314"/>
        </patternFill>
      </fill>
    </dxf>
    <dxf>
      <font>
        <name val="Calibri"/>
        <scheme val="none"/>
        <sz val="14"/>
      </font>
    </dxf>
    <dxf>
      <font>
        <name val="Calibri"/>
        <scheme val="none"/>
        <sz val="14"/>
      </font>
    </dxf>
    <dxf>
      <font>
        <name val="Calibri"/>
        <scheme val="none"/>
        <sz val="14"/>
      </font>
    </dxf>
    <dxf>
      <font>
        <name val="Calibri"/>
        <scheme val="none"/>
        <b val="0"/>
        <i val="0"/>
        <strike val="0"/>
        <u val="none"/>
        <sz val="14"/>
        <color theme="1"/>
      </font>
      <alignment horizontal="left"/>
    </dxf>
    <dxf>
      <font>
        <name val="Calibri"/>
        <scheme val="none"/>
        <b val="0"/>
        <i val="0"/>
        <strike val="0"/>
        <u val="none"/>
        <sz val="14"/>
        <color theme="1"/>
      </font>
      <numFmt numFmtId="9" formatCode="0%"/>
      <alignment horizontal="left"/>
    </dxf>
    <dxf>
      <numFmt numFmtId="0" formatCode="General"/>
      <fill>
        <patternFill patternType="solid">
          <bgColor theme="8" tint="0.799981688894314"/>
        </patternFill>
      </fill>
    </dxf>
    <dxf>
      <font>
        <name val="Calibri"/>
        <scheme val="none"/>
        <sz val="14"/>
      </font>
    </dxf>
    <dxf>
      <font>
        <name val="Calibri"/>
        <scheme val="none"/>
        <sz val="14"/>
      </font>
    </dxf>
    <dxf>
      <font>
        <name val="Calibri"/>
        <scheme val="none"/>
        <sz val="14"/>
      </font>
    </dxf>
    <dxf>
      <font>
        <name val="Calibri"/>
        <scheme val="none"/>
        <sz val="14"/>
      </font>
      <numFmt numFmtId="0" formatCode="General"/>
      <fill>
        <patternFill patternType="solid">
          <bgColor theme="8" tint="0.799981688894314"/>
        </patternFill>
      </fill>
    </dxf>
    <dxf>
      <font>
        <name val="Calibri"/>
        <scheme val="none"/>
        <b val="0"/>
        <i val="0"/>
        <strike val="0"/>
        <u val="none"/>
        <sz val="14"/>
        <color rgb="FF000000"/>
      </font>
    </dxf>
    <dxf>
      <font>
        <name val="Calibri"/>
        <scheme val="none"/>
        <sz val="14"/>
      </font>
    </dxf>
    <dxf>
      <font>
        <name val="Calibri"/>
        <scheme val="none"/>
        <sz val="14"/>
      </font>
    </dxf>
    <dxf>
      <font>
        <name val="Calibri"/>
        <scheme val="none"/>
        <sz val="14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1" name="Table11" displayName="Table11" ref="A3:C8" totalsRowShown="0">
  <autoFilter xmlns:etc="http://www.wps.cn/officeDocument/2017/etCustomData" ref="A3:C8" etc:filterBottomFollowUsedRange="0"/>
  <tableColumns count="3">
    <tableColumn id="1" name="Student Name" dataDxfId="0"/>
    <tableColumn id="2" name="Marks" dataDxfId="1"/>
    <tableColumn id="3" name="RESULT" dataDxfId="2">
      <calculatedColumnFormula>IF(Table11[[#This Row],[Marks]]&gt;=40,"pass","fail")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2" name="Table12" displayName="Table12" ref="A4:D8" totalsRowShown="0">
  <autoFilter xmlns:etc="http://www.wps.cn/officeDocument/2017/etCustomData" ref="A4:D8" etc:filterBottomFollowUsedRange="0"/>
  <tableColumns count="4">
    <tableColumn id="1" name="EMPLOYEE"/>
    <tableColumn id="2" name="SALES" dataDxfId="3"/>
    <tableColumn id="3" name="ATTENDENCE"/>
    <tableColumn id="4" name="RESULT " dataDxfId="4">
      <calculatedColumnFormula>IF(AND($B5&gt;40000,$C5&gt;=90),"BONUS","NO BONUS")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3:C8" totalsRowShown="0">
  <autoFilter xmlns:etc="http://www.wps.cn/officeDocument/2017/etCustomData" ref="A3:C8" etc:filterBottomFollowUsedRange="0"/>
  <tableColumns count="3">
    <tableColumn id="1" name="StudentName" dataDxfId="5"/>
    <tableColumn id="2" name="Marks" dataDxfId="6"/>
    <tableColumn id="3" name="Column1" dataDxfId="7">
      <calculatedColumnFormula>IF(Table4[[#This Row],[Marks]]&gt;=90,"A",IF(Table4[[#This Row],[Marks]]&gt;=75,"B",IF(Table4[[#This Row],[Marks]]&gt;=50,"C","FAIL")))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0" name="Table10" displayName="Table10" ref="A3:C7" totalsRowShown="0">
  <autoFilter xmlns:etc="http://www.wps.cn/officeDocument/2017/etCustomData" ref="A3:C7" etc:filterBottomFollowUsedRange="0"/>
  <tableColumns count="3">
    <tableColumn id="1" name="EmpID" dataDxfId="8"/>
    <tableColumn id="2" name="Name" dataDxfId="9"/>
    <tableColumn id="3" name="Department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9" name="Table9" displayName="Table9" ref="A3:C7" totalsRowShown="0">
  <autoFilter xmlns:etc="http://www.wps.cn/officeDocument/2017/etCustomData" ref="A3:C7" etc:filterBottomFollowUsedRange="0"/>
  <sortState ref="A3:C7">
    <sortCondition ref="C4:C7" sortBy="icon"/>
  </sortState>
  <tableColumns count="3">
    <tableColumn id="1" name="Sales Amount" dataDxfId="11"/>
    <tableColumn id="2" name="Commission Rate" dataDxfId="12"/>
    <tableColumn id="3" name="Commission rate for 45000" dataDxfId="13">
      <calculatedColumnFormula>VLOOKUP(A12,Table9[],2,TRUE)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4:D7" totalsRowShown="0">
  <autoFilter xmlns:etc="http://www.wps.cn/officeDocument/2017/etCustomData" ref="A4:D7" etc:filterBottomFollowUsedRange="0"/>
  <tableColumns count="4">
    <tableColumn id="1" name="Employee Name" dataDxfId="14"/>
    <tableColumn id="2" name="Leaves Taken" dataDxfId="15"/>
    <tableColumn id="3" name="Leaves Allowed" dataDxfId="16"/>
    <tableColumn id="4" name="Column1" dataDxfId="17">
      <calculatedColumnFormula>IF(Table6[[#Headers],[Leaves Taken]]&gt;Table6[[#Headers],[Leaves Allowed]],"Exceeded","ok")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B7" totalsRowShown="0">
  <autoFilter xmlns:etc="http://www.wps.cn/officeDocument/2017/etCustomData" ref="A3:B7" etc:filterBottomFollowUsedRange="0"/>
  <tableColumns count="2">
    <tableColumn id="1" name="EmpID" dataDxfId="18"/>
    <tableColumn id="2" name="Salary" dataDxfId="1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:B7" totalsRowShown="0">
  <autoFilter xmlns:etc="http://www.wps.cn/officeDocument/2017/etCustomData" ref="A3:B7" etc:filterBottomFollowUsedRange="0"/>
  <tableColumns count="2">
    <tableColumn id="1" name="EmpID" dataDxfId="20"/>
    <tableColumn id="2" name="Salary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workbookViewId="0">
      <selection activeCell="F8" sqref="F8"/>
    </sheetView>
  </sheetViews>
  <sheetFormatPr defaultColWidth="9" defaultRowHeight="14"/>
  <cols>
    <col min="1" max="1" width="14.1363636363636" customWidth="1"/>
    <col min="3" max="3" width="10.1363636363636" customWidth="1"/>
  </cols>
  <sheetData>
    <row r="1" ht="21" spans="1:17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9"/>
      <c r="P1" s="9"/>
      <c r="Q1" s="9"/>
    </row>
    <row r="3" ht="21" spans="1:3">
      <c r="A3" s="30" t="s">
        <v>1</v>
      </c>
      <c r="B3" s="30" t="s">
        <v>2</v>
      </c>
      <c r="C3" s="31" t="s">
        <v>3</v>
      </c>
    </row>
    <row r="4" ht="21" spans="1:3">
      <c r="A4" s="32" t="s">
        <v>4</v>
      </c>
      <c r="B4" s="33">
        <v>45</v>
      </c>
      <c r="C4" s="34" t="str">
        <f>IF(Table11[[#This Row],[Marks]]&gt;=40,"pass","fail")</f>
        <v>pass</v>
      </c>
    </row>
    <row r="5" ht="21" spans="1:3">
      <c r="A5" s="35" t="s">
        <v>5</v>
      </c>
      <c r="B5" s="36">
        <v>72</v>
      </c>
      <c r="C5" s="34" t="str">
        <f>IF(Table11[[#This Row],[Marks]]&gt;=40,"pass","fail")</f>
        <v>pass</v>
      </c>
    </row>
    <row r="6" ht="21" spans="1:3">
      <c r="A6" s="32" t="s">
        <v>6</v>
      </c>
      <c r="B6" s="33">
        <v>55</v>
      </c>
      <c r="C6" s="34" t="str">
        <f>IF(Table11[[#This Row],[Marks]]&gt;=40,"pass","fail")</f>
        <v>pass</v>
      </c>
    </row>
    <row r="7" ht="21" spans="1:3">
      <c r="A7" s="35" t="s">
        <v>7</v>
      </c>
      <c r="B7" s="36">
        <v>80</v>
      </c>
      <c r="C7" s="34" t="str">
        <f>IF(Table11[[#This Row],[Marks]]&gt;=40,"pass","fail")</f>
        <v>pass</v>
      </c>
    </row>
    <row r="8" ht="21" spans="1:3">
      <c r="A8" s="32" t="s">
        <v>8</v>
      </c>
      <c r="B8" s="33">
        <v>30</v>
      </c>
      <c r="C8" s="34" t="str">
        <f>IF(Table11[[#This Row],[Marks]]&gt;=40,"pass","fail")</f>
        <v>fail</v>
      </c>
    </row>
    <row r="9" spans="1:1">
      <c r="A9" s="8"/>
    </row>
    <row r="10" spans="1:1">
      <c r="A10" s="8"/>
    </row>
    <row r="11" spans="1:1">
      <c r="A11" s="8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5" sqref="D5"/>
    </sheetView>
  </sheetViews>
  <sheetFormatPr defaultColWidth="9" defaultRowHeight="14" outlineLevelRow="7" outlineLevelCol="3"/>
  <cols>
    <col min="1" max="1" width="36.5727272727273" customWidth="1"/>
    <col min="3" max="3" width="15" customWidth="1"/>
    <col min="4" max="4" width="36.5727272727273" customWidth="1"/>
  </cols>
  <sheetData>
    <row r="1" s="18" customFormat="1" ht="21" spans="1:1">
      <c r="A1" s="17" t="s">
        <v>9</v>
      </c>
    </row>
    <row r="4" spans="1:4">
      <c r="A4" t="s">
        <v>10</v>
      </c>
      <c r="B4" t="s">
        <v>11</v>
      </c>
      <c r="C4" t="s">
        <v>12</v>
      </c>
      <c r="D4" s="28" t="s">
        <v>13</v>
      </c>
    </row>
    <row r="5" spans="1:4">
      <c r="A5" t="s">
        <v>14</v>
      </c>
      <c r="B5" s="29">
        <v>55000</v>
      </c>
      <c r="C5">
        <v>95</v>
      </c>
      <c r="D5" s="7" t="str">
        <f t="shared" ref="D5:D8" si="0">IF(AND($B5&gt;40000,$C5&gt;=90),"BONUS","NO BONUS")</f>
        <v>BONUS</v>
      </c>
    </row>
    <row r="6" spans="1:4">
      <c r="A6" t="s">
        <v>15</v>
      </c>
      <c r="B6" s="29">
        <v>65000</v>
      </c>
      <c r="C6">
        <v>85</v>
      </c>
      <c r="D6" s="7" t="str">
        <f t="shared" si="0"/>
        <v>NO BONUS</v>
      </c>
    </row>
    <row r="7" spans="1:4">
      <c r="A7" t="s">
        <v>16</v>
      </c>
      <c r="B7" s="29">
        <v>30000</v>
      </c>
      <c r="C7">
        <v>90</v>
      </c>
      <c r="D7" s="7" t="str">
        <f t="shared" si="0"/>
        <v>NO BONUS</v>
      </c>
    </row>
    <row r="8" spans="1:4">
      <c r="A8" t="s">
        <v>17</v>
      </c>
      <c r="B8" s="29">
        <v>25000</v>
      </c>
      <c r="C8">
        <v>65</v>
      </c>
      <c r="D8" s="7" t="str">
        <f t="shared" si="0"/>
        <v>NO BONUS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C8" sqref="C8"/>
    </sheetView>
  </sheetViews>
  <sheetFormatPr defaultColWidth="9" defaultRowHeight="14" outlineLevelRow="7"/>
  <cols>
    <col min="1" max="1" width="37.4272727272727" customWidth="1"/>
    <col min="3" max="3" width="36.5727272727273" customWidth="1"/>
  </cols>
  <sheetData>
    <row r="1" ht="21" spans="1:9">
      <c r="A1" s="27" t="s">
        <v>18</v>
      </c>
      <c r="B1" s="16"/>
      <c r="C1" s="16"/>
      <c r="D1" s="16"/>
      <c r="E1" s="16"/>
      <c r="F1" s="16"/>
      <c r="G1" s="16"/>
      <c r="H1" s="16"/>
      <c r="I1" s="16"/>
    </row>
    <row r="3" ht="18.5" spans="1:3">
      <c r="A3" s="6" t="s">
        <v>19</v>
      </c>
      <c r="B3" s="3" t="s">
        <v>2</v>
      </c>
      <c r="C3" s="3" t="s">
        <v>20</v>
      </c>
    </row>
    <row r="4" ht="18.5" spans="1:3">
      <c r="A4" s="3" t="s">
        <v>21</v>
      </c>
      <c r="B4" s="3">
        <v>85</v>
      </c>
      <c r="C4" s="12" t="str">
        <f>IF(Table4[[#This Row],[Marks]]&gt;=90,"A",IF(Table4[[#This Row],[Marks]]&gt;=75,"B",IF(Table4[[#This Row],[Marks]]&gt;=50,"C","FAIL")))</f>
        <v>B</v>
      </c>
    </row>
    <row r="5" ht="18.5" spans="1:3">
      <c r="A5" s="3" t="s">
        <v>22</v>
      </c>
      <c r="B5" s="3">
        <v>96</v>
      </c>
      <c r="C5" s="13" t="str">
        <f>IF(Table4[[#This Row],[Marks]]&gt;=90,"A",IF(Table4[[#This Row],[Marks]]&gt;=75,"B",IF(Table4[[#This Row],[Marks]]&gt;=50,"C","FAIL")))</f>
        <v>A</v>
      </c>
    </row>
    <row r="6" ht="18.5" spans="1:3">
      <c r="A6" s="3" t="s">
        <v>23</v>
      </c>
      <c r="B6" s="3">
        <v>57</v>
      </c>
      <c r="C6" s="13" t="str">
        <f>IF(Table4[[#This Row],[Marks]]&gt;=90,"A",IF(Table4[[#This Row],[Marks]]&gt;=75,"B",IF(Table4[[#This Row],[Marks]]&gt;=50,"C","FAIL")))</f>
        <v>C</v>
      </c>
    </row>
    <row r="7" ht="18.5" spans="1:3">
      <c r="A7" s="3" t="s">
        <v>24</v>
      </c>
      <c r="B7" s="3">
        <v>92</v>
      </c>
      <c r="C7" s="13" t="str">
        <f>IF(Table4[[#This Row],[Marks]]&gt;=90,"A",IF(Table4[[#This Row],[Marks]]&gt;=75,"B",IF(Table4[[#This Row],[Marks]]&gt;=50,"C","FAIL")))</f>
        <v>A</v>
      </c>
    </row>
    <row r="8" ht="18.5" spans="1:3">
      <c r="A8" s="3" t="s">
        <v>25</v>
      </c>
      <c r="B8" s="3">
        <v>75</v>
      </c>
      <c r="C8" s="13" t="str">
        <f>IF(Table4[[#This Row],[Marks]]&gt;=90,"A",IF(Table4[[#This Row],[Marks]]&gt;=75,"B",IF(Table4[[#This Row],[Marks]]&gt;=50,"C","FAIL")))</f>
        <v>B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0" sqref="A10"/>
    </sheetView>
  </sheetViews>
  <sheetFormatPr defaultColWidth="9" defaultRowHeight="14" outlineLevelCol="2"/>
  <cols>
    <col min="1" max="1" width="36.5727272727273" customWidth="1"/>
    <col min="3" max="3" width="13.8545454545455" customWidth="1"/>
  </cols>
  <sheetData>
    <row r="1" s="24" customFormat="1" ht="21" spans="1:1">
      <c r="A1" s="25" t="s">
        <v>26</v>
      </c>
    </row>
    <row r="3" ht="18.5" spans="1:3">
      <c r="A3" s="3" t="s">
        <v>27</v>
      </c>
      <c r="B3" s="3" t="s">
        <v>28</v>
      </c>
      <c r="C3" s="3" t="s">
        <v>29</v>
      </c>
    </row>
    <row r="4" ht="18.5" spans="1:3">
      <c r="A4" s="3" t="s">
        <v>30</v>
      </c>
      <c r="B4" s="3" t="s">
        <v>6</v>
      </c>
      <c r="C4" s="3" t="s">
        <v>31</v>
      </c>
    </row>
    <row r="5" ht="18.5" spans="1:3">
      <c r="A5" s="3" t="s">
        <v>32</v>
      </c>
      <c r="B5" s="3" t="s">
        <v>4</v>
      </c>
      <c r="C5" s="3" t="s">
        <v>33</v>
      </c>
    </row>
    <row r="6" ht="18.5" spans="1:3">
      <c r="A6" s="3" t="s">
        <v>34</v>
      </c>
      <c r="B6" s="3" t="s">
        <v>35</v>
      </c>
      <c r="C6" s="3" t="s">
        <v>36</v>
      </c>
    </row>
    <row r="7" ht="18.5" spans="1:3">
      <c r="A7" s="3" t="s">
        <v>37</v>
      </c>
      <c r="B7" s="3" t="s">
        <v>38</v>
      </c>
      <c r="C7" s="3" t="s">
        <v>39</v>
      </c>
    </row>
    <row r="9" ht="18.5" spans="3:3">
      <c r="C9" s="13" t="str">
        <f>VLOOKUP("E103",Table10[#All],3,FALSE)</f>
        <v>Finance</v>
      </c>
    </row>
    <row r="10" ht="74" spans="1:1">
      <c r="A10" s="26" t="s">
        <v>40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E4" sqref="E4"/>
    </sheetView>
  </sheetViews>
  <sheetFormatPr defaultColWidth="9" defaultRowHeight="14"/>
  <cols>
    <col min="1" max="1" width="36.5727272727273" customWidth="1"/>
    <col min="2" max="2" width="23" customWidth="1"/>
    <col min="3" max="3" width="27.5727272727273" customWidth="1"/>
  </cols>
  <sheetData>
    <row r="1" s="15" customFormat="1" ht="21" spans="1:7">
      <c r="A1" s="17" t="s">
        <v>41</v>
      </c>
      <c r="B1" s="18"/>
      <c r="C1" s="18"/>
      <c r="D1" s="18"/>
      <c r="E1" s="18"/>
      <c r="F1" s="18"/>
      <c r="G1" s="18"/>
    </row>
    <row r="3" ht="37" spans="1:3">
      <c r="A3" s="19" t="s">
        <v>42</v>
      </c>
      <c r="B3" s="19" t="s">
        <v>43</v>
      </c>
      <c r="C3" s="20" t="s">
        <v>44</v>
      </c>
    </row>
    <row r="4" ht="18.5" spans="1:3">
      <c r="A4" s="19">
        <v>0</v>
      </c>
      <c r="B4" s="21">
        <v>0.05</v>
      </c>
      <c r="C4" s="22">
        <f>VLOOKUP(A12,Table9[],2,TRUE)</f>
        <v>0.1</v>
      </c>
    </row>
    <row r="5" ht="18.5" spans="1:3">
      <c r="A5" s="19">
        <v>20000</v>
      </c>
      <c r="B5" s="21">
        <v>0.1</v>
      </c>
      <c r="C5" s="22">
        <f>VLOOKUP(A13,Table9[],2,TRUE)</f>
        <v>0.05</v>
      </c>
    </row>
    <row r="6" ht="18.5" spans="1:3">
      <c r="A6" s="19">
        <v>50000</v>
      </c>
      <c r="B6" s="21">
        <v>0.15</v>
      </c>
      <c r="C6" s="22">
        <f>VLOOKUP(A14,Table9[],2,TRUE)</f>
        <v>0.05</v>
      </c>
    </row>
    <row r="7" ht="18.5" spans="1:3">
      <c r="A7" s="19">
        <v>80000</v>
      </c>
      <c r="B7" s="21">
        <v>0.2</v>
      </c>
      <c r="C7" s="22">
        <f>VLOOKUP(A15,Table9[],2,TRUE)</f>
        <v>0.05</v>
      </c>
    </row>
    <row r="9" s="16" customFormat="1" ht="18.5" spans="1:10">
      <c r="A9" s="14" t="s">
        <v>45</v>
      </c>
      <c r="B9" s="14"/>
      <c r="C9" s="14"/>
      <c r="D9" s="14"/>
      <c r="E9" s="14"/>
      <c r="F9" s="14"/>
      <c r="G9" s="14"/>
      <c r="H9" s="14"/>
      <c r="I9" s="14"/>
      <c r="J9" s="14"/>
    </row>
    <row r="12" spans="1:2">
      <c r="A12" s="4">
        <v>45000</v>
      </c>
      <c r="B12" s="23">
        <v>0.1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5" sqref="D5:D7"/>
    </sheetView>
  </sheetViews>
  <sheetFormatPr defaultColWidth="9" defaultRowHeight="14" outlineLevelCol="3"/>
  <cols>
    <col min="1" max="1" width="36.5727272727273" customWidth="1"/>
    <col min="2" max="2" width="15" customWidth="1"/>
    <col min="3" max="3" width="16.8545454545455" customWidth="1"/>
    <col min="4" max="4" width="36.5727272727273" customWidth="1"/>
  </cols>
  <sheetData>
    <row r="1" s="9" customFormat="1" ht="21" spans="1:1">
      <c r="A1" s="11" t="s">
        <v>46</v>
      </c>
    </row>
    <row r="4" ht="18.5" spans="1:4">
      <c r="A4" s="6" t="s">
        <v>47</v>
      </c>
      <c r="B4" s="3" t="s">
        <v>48</v>
      </c>
      <c r="C4" s="3" t="s">
        <v>49</v>
      </c>
      <c r="D4" s="3" t="s">
        <v>20</v>
      </c>
    </row>
    <row r="5" ht="18.5" spans="1:4">
      <c r="A5" s="3" t="s">
        <v>50</v>
      </c>
      <c r="B5" s="3">
        <v>10</v>
      </c>
      <c r="C5" s="3">
        <v>12</v>
      </c>
      <c r="D5" s="12" t="str">
        <f>IF(B5&gt;C5,"Exceeded","ok")</f>
        <v>ok</v>
      </c>
    </row>
    <row r="6" ht="18.5" spans="1:4">
      <c r="A6" s="3" t="s">
        <v>51</v>
      </c>
      <c r="B6" s="3">
        <v>10</v>
      </c>
      <c r="C6" s="3">
        <v>15</v>
      </c>
      <c r="D6" s="13" t="str">
        <f>IF($B5&gt;$C5,"Exceeded","ok")</f>
        <v>ok</v>
      </c>
    </row>
    <row r="7" ht="18.5" spans="1:4">
      <c r="A7" s="3" t="s">
        <v>52</v>
      </c>
      <c r="B7" s="3">
        <v>8</v>
      </c>
      <c r="C7" s="3">
        <v>12</v>
      </c>
      <c r="D7" s="13" t="str">
        <f>IF($B6&gt;$C6,"Exceeded","ok")</f>
        <v>ok</v>
      </c>
    </row>
    <row r="9" s="10" customFormat="1" ht="18.5" spans="1:1">
      <c r="A9" s="14" t="s">
        <v>53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5" sqref="D5"/>
    </sheetView>
  </sheetViews>
  <sheetFormatPr defaultColWidth="9" defaultRowHeight="14" outlineLevelCol="3"/>
  <cols>
    <col min="1" max="1" width="36.5727272727273" customWidth="1"/>
    <col min="4" max="4" width="36.5727272727273" customWidth="1"/>
  </cols>
  <sheetData>
    <row r="1" s="1" customFormat="1" ht="21" spans="1:1">
      <c r="A1" s="5" t="s">
        <v>54</v>
      </c>
    </row>
    <row r="3" ht="18.5" spans="1:2">
      <c r="A3" s="3" t="s">
        <v>27</v>
      </c>
      <c r="B3" s="3" t="s">
        <v>55</v>
      </c>
    </row>
    <row r="4" ht="18.5" spans="1:2">
      <c r="A4" s="6" t="s">
        <v>37</v>
      </c>
      <c r="B4" s="3">
        <v>55000</v>
      </c>
    </row>
    <row r="5" ht="18.5" spans="1:4">
      <c r="A5" s="6" t="s">
        <v>56</v>
      </c>
      <c r="B5" s="3">
        <v>72000</v>
      </c>
      <c r="D5" s="7">
        <f>INDEX(Table7[Salary],MATCH(Table7[[#This Row],[EmpID]],Table7[EmpID],0))</f>
        <v>72000</v>
      </c>
    </row>
    <row r="6" ht="18.5" spans="1:2">
      <c r="A6" s="6" t="s">
        <v>57</v>
      </c>
      <c r="B6" s="3">
        <v>62000</v>
      </c>
    </row>
    <row r="7" ht="18.5" spans="1:2">
      <c r="A7" s="6" t="s">
        <v>32</v>
      </c>
      <c r="B7" s="3">
        <v>41000</v>
      </c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E5" sqref="E5"/>
    </sheetView>
  </sheetViews>
  <sheetFormatPr defaultColWidth="9" defaultRowHeight="14" outlineLevelRow="6" outlineLevelCol="4"/>
  <cols>
    <col min="1" max="1" width="36.5727272727273" customWidth="1"/>
  </cols>
  <sheetData>
    <row r="1" s="1" customFormat="1" ht="21" spans="1:1">
      <c r="A1" s="2" t="s">
        <v>58</v>
      </c>
    </row>
    <row r="3" ht="18.5" spans="1:2">
      <c r="A3" s="3" t="s">
        <v>27</v>
      </c>
      <c r="B3" s="3" t="s">
        <v>55</v>
      </c>
    </row>
    <row r="4" ht="18.5" spans="1:2">
      <c r="A4" s="3" t="s">
        <v>30</v>
      </c>
      <c r="B4" s="3" t="s">
        <v>33</v>
      </c>
    </row>
    <row r="5" ht="18.5" spans="1:5">
      <c r="A5" s="3" t="s">
        <v>59</v>
      </c>
      <c r="B5" s="3" t="s">
        <v>31</v>
      </c>
      <c r="E5" s="4" t="str">
        <f>_xlfn.XLOOKUP(Table8[[#This Row],[EmpID]],Table8[EmpID],Table8[Salary],2,0)</f>
        <v>IT</v>
      </c>
    </row>
    <row r="6" ht="18.5" spans="1:2">
      <c r="A6" s="3" t="s">
        <v>57</v>
      </c>
      <c r="B6" s="3" t="s">
        <v>11</v>
      </c>
    </row>
    <row r="7" ht="18.5" spans="1:2">
      <c r="A7" s="3" t="s">
        <v>60</v>
      </c>
      <c r="B7" s="3" t="s">
        <v>61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Ques 1</vt:lpstr>
      <vt:lpstr>Ques 2</vt:lpstr>
      <vt:lpstr>Ques 3</vt:lpstr>
      <vt:lpstr>Ques 4</vt:lpstr>
      <vt:lpstr>Ques 5</vt:lpstr>
      <vt:lpstr>Ques 6</vt:lpstr>
      <vt:lpstr>Ques 7</vt:lpstr>
      <vt:lpstr>Ques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Goel</cp:lastModifiedBy>
  <dcterms:created xsi:type="dcterms:W3CDTF">2025-12-22T10:57:00Z</dcterms:created>
  <dcterms:modified xsi:type="dcterms:W3CDTF">2025-12-22T12:55:30Z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585637DDB55646C6B9D706BB8AE2FA4F_13</vt:lpwstr>
  </property>
  <property fmtid="{D5CDD505-2E9C-101B-9397-08002B2CF9AE}" pid="3" name="KSOProductBuildVer">
    <vt:lpwstr>1033-12.2.0.23155</vt:lpwstr>
  </property>
</Properties>
</file>