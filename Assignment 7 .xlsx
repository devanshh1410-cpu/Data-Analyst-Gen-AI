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260d041d5c3d13/Desktop/Data Analysis/"/>
    </mc:Choice>
  </mc:AlternateContent>
  <xr:revisionPtr revIDLastSave="0" documentId="8_{CD31CE99-3E72-4063-A57C-DD41553FEC95}" xr6:coauthVersionLast="47" xr6:coauthVersionMax="47" xr10:uidLastSave="{00000000-0000-0000-0000-000000000000}"/>
  <bookViews>
    <workbookView xWindow="-110" yWindow="-110" windowWidth="19420" windowHeight="10300" activeTab="1" xr2:uid="{0CE25C95-7BB7-4293-87CE-F6102279B158}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  <sheet name="Ques 9" sheetId="9" r:id="rId9"/>
    <sheet name="Ques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D7" i="8"/>
  <c r="E10" i="7"/>
  <c r="D7" i="6"/>
  <c r="C11" i="3"/>
  <c r="C10" i="2"/>
  <c r="F4" i="1"/>
  <c r="H8" i="1"/>
</calcChain>
</file>

<file path=xl/sharedStrings.xml><?xml version="1.0" encoding="utf-8"?>
<sst xmlns="http://schemas.openxmlformats.org/spreadsheetml/2006/main" count="74" uniqueCount="70">
  <si>
    <t>Question 1: A die is rolled. What is the probability of getting: (a) An even number (b) A number greater than 4</t>
  </si>
  <si>
    <t>Question 2: In a class of 50 students: 20 like Mathematics (M) 15 like Science (S) 5 like both subjects</t>
  </si>
  <si>
    <t xml:space="preserve"> What is the probability that a student chosen at random likes Mathematics or Science? </t>
  </si>
  <si>
    <t>Question 3: A bag has 3 red and 2 blue balls. If one ball is drawn randomly and is red,</t>
  </si>
  <si>
    <t>what is the probability that the next ball is also red (without replacement)? </t>
  </si>
  <si>
    <t>Question 4: The population of a school is divided into 60% boys and 40% girls.</t>
  </si>
  <si>
    <t xml:space="preserve"> If you want equal representation of both genders in the sample,</t>
  </si>
  <si>
    <t>which method should you use: Simple Random Sampling or Stratified Sampling? Why? </t>
  </si>
  <si>
    <t>Question 5: The average height of 1000 students = 160 cm. A sample of 100 students shows an average height = 158 cm.</t>
  </si>
  <si>
    <t xml:space="preserve"> Find the sampling error. </t>
  </si>
  <si>
    <t>Question 6: The population mean salary is ₹50,000 with σ = ₹5,000. If we take a sample of 100 employees, what is the standard error of the mean (SEM)? </t>
  </si>
  <si>
    <t>Question 7: In a group of 100 students: 40 like Cricket (C) 30 like Football (F) 10 like both Cricket and Football.</t>
  </si>
  <si>
    <t>Find the probability that a student likes at least one sport. </t>
  </si>
  <si>
    <t>Question 8: From a deck of 52 cards, two cards are drawn without replacement. What is the probability that both are Aces? </t>
  </si>
  <si>
    <t>Question 9: A factory produces bulbs with 2% defective rate. If 5 bulbs are chosen at random, what is the probability that all are non-defective? </t>
  </si>
  <si>
    <t>Question 10: Differentiate between discrete and continuous random variables with examples.</t>
  </si>
  <si>
    <t>NO. FO SIDES</t>
  </si>
  <si>
    <t>EVEN NUMBER</t>
  </si>
  <si>
    <t>A</t>
  </si>
  <si>
    <t xml:space="preserve">PROB. OF GETTING EVEN  NUMBER= </t>
  </si>
  <si>
    <t>B</t>
  </si>
  <si>
    <t>NO.OF GETIING GREATER THAN 4</t>
  </si>
  <si>
    <t>PROBABILITY OF GETTING A NUMBER GREATER THAN 4</t>
  </si>
  <si>
    <t>TOTAL</t>
  </si>
  <si>
    <t>MATHS</t>
  </si>
  <si>
    <t>SCIENCE</t>
  </si>
  <si>
    <t>BOTH</t>
  </si>
  <si>
    <t>PROBABILITY</t>
  </si>
  <si>
    <t>NO. OF BALLS</t>
  </si>
  <si>
    <t>RED AFTER DRAWN 1 BALL</t>
  </si>
  <si>
    <t>BLUE</t>
  </si>
  <si>
    <t xml:space="preserve">NO. OF BALLS DRAWN </t>
  </si>
  <si>
    <t>TOTAL NO. OF REMAING BALLS</t>
  </si>
  <si>
    <t>PROBABLITY OF GETTING RED BALL</t>
  </si>
  <si>
    <t>Should use Stratified Sampling as it ensures that both boys and girls are equally represented in the sample, even though their proportions in the population are different.</t>
  </si>
  <si>
    <t>The average height of 1,000 students is 160 cm.</t>
  </si>
  <si>
    <t xml:space="preserve"> You took a group of 100 students and found their average height is 158 cm.</t>
  </si>
  <si>
    <t xml:space="preserve"> The sampling error is just how much the sample average differs from the overall average</t>
  </si>
  <si>
    <t>Sampling error = 158 - 160 = -2 cm.</t>
  </si>
  <si>
    <t>Given:</t>
  </si>
  <si>
    <t>Therefore Answer is  -2 cm</t>
  </si>
  <si>
    <t>NO. OF EMPLOYES</t>
  </si>
  <si>
    <t xml:space="preserve">STD. OF POPULATION </t>
  </si>
  <si>
    <t xml:space="preserve">STANDATD MERIDIAN ERROR </t>
  </si>
  <si>
    <t>The sample mean salary is expected to vary by about 500 from the population mean due to sampling.</t>
  </si>
  <si>
    <t>CRICKET</t>
  </si>
  <si>
    <t>FOOTBALL</t>
  </si>
  <si>
    <t>Column1</t>
  </si>
  <si>
    <t>Column2</t>
  </si>
  <si>
    <t>SET OF CARDS</t>
  </si>
  <si>
    <t>CARDS DRAWN</t>
  </si>
  <si>
    <t>NO. OF ACES</t>
  </si>
  <si>
    <t xml:space="preserve">NO. OF SAMPLING </t>
  </si>
  <si>
    <t>DEFECTIVE RATE</t>
  </si>
  <si>
    <t>PROB.</t>
  </si>
  <si>
    <t>X</t>
  </si>
  <si>
    <t>Y</t>
  </si>
  <si>
    <t>Z</t>
  </si>
  <si>
    <t>There is about a 90.39% chance that all 5 bulbs are non-defective.</t>
  </si>
  <si>
    <t>Discrete Random Variable</t>
  </si>
  <si>
    <t>Continuous Random Variable</t>
  </si>
  <si>
    <t>Takes countable values</t>
  </si>
  <si>
    <t>Takes uncountable values</t>
  </si>
  <si>
    <t>Values are whole numbers</t>
  </si>
  <si>
    <t>Values can be fractions/decimals</t>
  </si>
  <si>
    <t>Obtained by counting</t>
  </si>
  <si>
    <t>Obtained by measuring</t>
  </si>
  <si>
    <t>Example: Number of cars</t>
  </si>
  <si>
    <t>Example: Weight of a person</t>
  </si>
  <si>
    <t>A discrete random variable can take only specific, separate values that can be counted.
For example, the number of defective bulbs in a box can be 0, 1, 2,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</si>
</sst>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theme="1"/>
      <name val="Aptos Narrow"/>
      <family val="2"/>
      <scheme val="minor"/>
    </font>
    <font>
      <sz val="14"/>
      <color indexed="8"/>
      <name val="Arial"/>
      <family val="2"/>
    </font>
    <font>
      <sz val="16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/>
    <xf numFmtId="0" fontId="1" fillId="2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16" fontId="4" fillId="0" borderId="0" xfId="0" applyNumberFormat="1" applyFont="1" applyFill="1" applyBorder="1" applyAlignment="1" applyProtection="1"/>
    <xf numFmtId="0" fontId="6" fillId="0" borderId="0" xfId="0" applyFont="1"/>
    <xf numFmtId="0" fontId="4" fillId="3" borderId="0" xfId="0" applyNumberFormat="1" applyFont="1" applyFill="1" applyBorder="1" applyAlignment="1" applyProtection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8" fillId="0" borderId="0" xfId="0" applyFont="1"/>
    <xf numFmtId="0" fontId="9" fillId="0" borderId="0" xfId="0" applyNumberFormat="1" applyFont="1" applyFill="1" applyBorder="1" applyAlignment="1" applyProtection="1"/>
    <xf numFmtId="0" fontId="10" fillId="0" borderId="0" xfId="0" applyFont="1"/>
    <xf numFmtId="9" fontId="9" fillId="0" borderId="0" xfId="0" applyNumberFormat="1" applyFont="1" applyFill="1" applyBorder="1" applyAlignment="1" applyProtection="1"/>
    <xf numFmtId="0" fontId="9" fillId="3" borderId="0" xfId="0" applyNumberFormat="1" applyFont="1" applyFill="1" applyBorder="1" applyAlignment="1" applyProtection="1"/>
    <xf numFmtId="0" fontId="11" fillId="3" borderId="0" xfId="0" applyNumberFormat="1" applyFont="1" applyFill="1" applyBorder="1" applyAlignment="1" applyProtection="1"/>
    <xf numFmtId="0" fontId="10" fillId="3" borderId="0" xfId="0" applyFont="1" applyFill="1"/>
    <xf numFmtId="0" fontId="7" fillId="3" borderId="0" xfId="0" applyFont="1" applyFill="1"/>
    <xf numFmtId="0" fontId="12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center"/>
    </xf>
    <xf numFmtId="0" fontId="12" fillId="3" borderId="0" xfId="0" applyNumberFormat="1" applyFont="1" applyFill="1" applyBorder="1" applyAlignment="1" applyProtection="1"/>
    <xf numFmtId="0" fontId="3" fillId="3" borderId="0" xfId="0" applyFont="1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F0740-6BC4-4C1E-A125-BD1046618BAD}" name="Table1" displayName="Table1" ref="D3:E10" totalsRowShown="0" dataDxfId="2">
  <autoFilter ref="D3:E10" xr:uid="{748F0740-6BC4-4C1E-A125-BD1046618BAD}"/>
  <tableColumns count="2">
    <tableColumn id="1" xr3:uid="{A3383EFA-6364-4535-ADF8-527DCF44345F}" name="Column1" dataDxfId="1"/>
    <tableColumn id="2" xr3:uid="{3A0929C4-9BD1-452E-8918-B7173B483146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5361-473D-4EF9-8892-F13E516D358C}">
  <dimension ref="A1:P9"/>
  <sheetViews>
    <sheetView workbookViewId="0">
      <selection activeCell="H14" sqref="H14"/>
    </sheetView>
  </sheetViews>
  <sheetFormatPr defaultRowHeight="14.5" x14ac:dyDescent="0.35"/>
  <cols>
    <col min="2" max="2" width="15.26953125" customWidth="1"/>
    <col min="3" max="3" width="12.54296875" customWidth="1"/>
    <col min="5" max="5" width="13.7265625" customWidth="1"/>
  </cols>
  <sheetData>
    <row r="1" spans="1:16" ht="21" x14ac:dyDescent="0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</row>
    <row r="3" spans="1:16" x14ac:dyDescent="0.35">
      <c r="B3" s="10" t="s">
        <v>16</v>
      </c>
      <c r="C3" s="10">
        <v>6</v>
      </c>
      <c r="D3" s="10"/>
      <c r="E3" s="10" t="s">
        <v>17</v>
      </c>
      <c r="F3" s="10">
        <v>3</v>
      </c>
      <c r="G3" s="10"/>
      <c r="H3" s="10"/>
    </row>
    <row r="4" spans="1:16" x14ac:dyDescent="0.35">
      <c r="B4" s="11" t="s">
        <v>18</v>
      </c>
      <c r="C4" s="10" t="s">
        <v>19</v>
      </c>
      <c r="D4" s="10"/>
      <c r="E4" s="10"/>
      <c r="F4" s="10">
        <f>F3/C3</f>
        <v>0.5</v>
      </c>
      <c r="G4" s="12"/>
      <c r="H4" s="10"/>
    </row>
    <row r="5" spans="1:16" x14ac:dyDescent="0.35">
      <c r="B5" s="10"/>
      <c r="C5" s="10"/>
      <c r="D5" s="10"/>
      <c r="E5" s="10"/>
      <c r="F5" s="10"/>
      <c r="G5" s="10"/>
      <c r="H5" s="10"/>
    </row>
    <row r="6" spans="1:16" x14ac:dyDescent="0.35">
      <c r="B6" s="10"/>
      <c r="C6" s="10"/>
      <c r="D6" s="10"/>
      <c r="E6" s="10"/>
      <c r="F6" s="10"/>
      <c r="G6" s="10"/>
      <c r="H6" s="10"/>
    </row>
    <row r="7" spans="1:16" x14ac:dyDescent="0.35">
      <c r="B7" s="11" t="s">
        <v>20</v>
      </c>
      <c r="C7" s="10" t="s">
        <v>21</v>
      </c>
      <c r="D7" s="10"/>
      <c r="E7" s="10"/>
      <c r="F7" s="10">
        <v>2</v>
      </c>
      <c r="G7" s="10"/>
      <c r="H7" s="10"/>
    </row>
    <row r="8" spans="1:16" x14ac:dyDescent="0.35">
      <c r="B8" s="10"/>
      <c r="C8" s="10" t="s">
        <v>22</v>
      </c>
      <c r="D8" s="10"/>
      <c r="E8" s="10"/>
      <c r="F8" s="10"/>
      <c r="G8" s="10"/>
      <c r="H8" s="14">
        <f>F7/C3</f>
        <v>0.33333333333333331</v>
      </c>
    </row>
    <row r="9" spans="1:16" x14ac:dyDescent="0.35">
      <c r="B9" s="10"/>
      <c r="C9" s="10"/>
      <c r="D9" s="10"/>
      <c r="E9" s="10"/>
      <c r="F9" s="10"/>
      <c r="G9" s="10"/>
      <c r="H9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C8FA-3A99-467F-8E44-1DF0A458CA59}">
  <dimension ref="A1:V10"/>
  <sheetViews>
    <sheetView tabSelected="1" workbookViewId="0">
      <selection activeCell="C10" sqref="C10"/>
    </sheetView>
  </sheetViews>
  <sheetFormatPr defaultRowHeight="14.5" x14ac:dyDescent="0.35"/>
  <cols>
    <col min="2" max="2" width="13.90625" customWidth="1"/>
  </cols>
  <sheetData>
    <row r="1" spans="1:22" ht="21" x14ac:dyDescent="0.5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"/>
      <c r="P1" s="6"/>
      <c r="Q1" s="6"/>
      <c r="R1" s="6"/>
      <c r="S1" s="6"/>
      <c r="T1" s="6"/>
      <c r="U1" s="6"/>
      <c r="V1" s="7"/>
    </row>
    <row r="2" spans="1:22" ht="21" x14ac:dyDescent="0.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9"/>
      <c r="M2" s="9"/>
      <c r="N2" s="1"/>
    </row>
    <row r="4" spans="1:22" x14ac:dyDescent="0.35">
      <c r="B4" s="10" t="s">
        <v>23</v>
      </c>
      <c r="C4" s="10">
        <v>50</v>
      </c>
    </row>
    <row r="5" spans="1:22" x14ac:dyDescent="0.35">
      <c r="B5" s="10" t="s">
        <v>24</v>
      </c>
      <c r="C5" s="10">
        <v>20</v>
      </c>
    </row>
    <row r="6" spans="1:22" x14ac:dyDescent="0.35">
      <c r="B6" s="10" t="s">
        <v>25</v>
      </c>
      <c r="C6" s="10">
        <v>15</v>
      </c>
    </row>
    <row r="7" spans="1:22" x14ac:dyDescent="0.35">
      <c r="B7" s="10" t="s">
        <v>26</v>
      </c>
      <c r="C7" s="10">
        <v>5</v>
      </c>
    </row>
    <row r="8" spans="1:22" x14ac:dyDescent="0.35">
      <c r="B8" s="10"/>
      <c r="C8" s="10"/>
    </row>
    <row r="9" spans="1:22" x14ac:dyDescent="0.35">
      <c r="B9" s="10"/>
      <c r="C9" s="10"/>
    </row>
    <row r="10" spans="1:22" x14ac:dyDescent="0.35">
      <c r="B10" s="10" t="s">
        <v>27</v>
      </c>
      <c r="C10" s="14">
        <f>(C5+C6-C7)/C4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13A3-C29F-4828-A011-142CFEAA8CD8}">
  <dimension ref="A1:L11"/>
  <sheetViews>
    <sheetView workbookViewId="0">
      <selection activeCell="C11" sqref="C11"/>
    </sheetView>
  </sheetViews>
  <sheetFormatPr defaultRowHeight="14.5" x14ac:dyDescent="0.35"/>
  <cols>
    <col min="2" max="2" width="32.08984375" customWidth="1"/>
    <col min="3" max="3" width="25.81640625" customWidth="1"/>
  </cols>
  <sheetData>
    <row r="1" spans="1:12" ht="21" x14ac:dyDescent="0.5">
      <c r="A1" s="4" t="s">
        <v>3</v>
      </c>
      <c r="B1" s="2"/>
      <c r="C1" s="2"/>
      <c r="D1" s="2"/>
      <c r="E1" s="2"/>
      <c r="F1" s="2"/>
      <c r="G1" s="2"/>
      <c r="H1" s="2"/>
      <c r="I1" s="2"/>
      <c r="J1" s="2"/>
      <c r="K1" s="9"/>
      <c r="L1" s="9"/>
    </row>
    <row r="2" spans="1:12" ht="21" x14ac:dyDescent="0.5">
      <c r="A2" s="4" t="s">
        <v>4</v>
      </c>
      <c r="B2" s="2"/>
      <c r="C2" s="2"/>
      <c r="D2" s="2"/>
      <c r="E2" s="2"/>
      <c r="F2" s="2"/>
      <c r="G2" s="2"/>
      <c r="H2" s="2"/>
      <c r="I2" s="2"/>
      <c r="J2" s="2"/>
      <c r="K2" s="9"/>
      <c r="L2" s="9"/>
    </row>
    <row r="4" spans="1:12" x14ac:dyDescent="0.35">
      <c r="B4" s="13" t="s">
        <v>28</v>
      </c>
      <c r="C4" s="13">
        <v>5</v>
      </c>
    </row>
    <row r="5" spans="1:12" x14ac:dyDescent="0.35">
      <c r="B5" s="13" t="s">
        <v>29</v>
      </c>
      <c r="C5" s="13">
        <v>2</v>
      </c>
    </row>
    <row r="6" spans="1:12" x14ac:dyDescent="0.35">
      <c r="B6" s="13" t="s">
        <v>30</v>
      </c>
      <c r="C6" s="13">
        <v>2</v>
      </c>
    </row>
    <row r="7" spans="1:12" x14ac:dyDescent="0.35">
      <c r="B7" s="13" t="s">
        <v>31</v>
      </c>
      <c r="C7" s="13">
        <v>1</v>
      </c>
    </row>
    <row r="8" spans="1:12" x14ac:dyDescent="0.35">
      <c r="B8" s="13" t="s">
        <v>32</v>
      </c>
      <c r="C8" s="13">
        <v>4</v>
      </c>
    </row>
    <row r="9" spans="1:12" x14ac:dyDescent="0.35">
      <c r="B9" s="13"/>
      <c r="C9" s="13"/>
    </row>
    <row r="10" spans="1:12" x14ac:dyDescent="0.35">
      <c r="B10" s="13"/>
      <c r="C10" s="13"/>
    </row>
    <row r="11" spans="1:12" x14ac:dyDescent="0.35">
      <c r="B11" s="13" t="s">
        <v>33</v>
      </c>
      <c r="C11" s="15">
        <f>C5/C8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CA81-39F7-498F-9E10-B3AAC6A93F3F}">
  <dimension ref="A1:V5"/>
  <sheetViews>
    <sheetView workbookViewId="0">
      <selection activeCell="R5" sqref="R5:V5"/>
    </sheetView>
  </sheetViews>
  <sheetFormatPr defaultRowHeight="14.5" x14ac:dyDescent="0.35"/>
  <sheetData>
    <row r="1" spans="1:22" ht="21" x14ac:dyDescent="0.5">
      <c r="A1" s="4" t="s">
        <v>5</v>
      </c>
      <c r="B1" s="2"/>
      <c r="C1" s="2"/>
      <c r="D1" s="2"/>
      <c r="E1" s="2"/>
      <c r="F1" s="2"/>
      <c r="G1" s="2"/>
      <c r="H1" s="2"/>
      <c r="I1" s="2"/>
      <c r="J1" s="2"/>
      <c r="K1" s="9"/>
      <c r="L1" s="9"/>
      <c r="M1" s="3"/>
    </row>
    <row r="2" spans="1:22" ht="21" x14ac:dyDescent="0.5">
      <c r="A2" s="4" t="s">
        <v>6</v>
      </c>
      <c r="B2" s="2"/>
      <c r="C2" s="2"/>
      <c r="D2" s="2"/>
      <c r="E2" s="2"/>
      <c r="F2" s="2"/>
      <c r="G2" s="2"/>
      <c r="H2" s="2"/>
      <c r="I2" s="2"/>
      <c r="J2" s="2"/>
      <c r="K2" s="9"/>
      <c r="L2" s="9"/>
      <c r="M2" s="3"/>
    </row>
    <row r="3" spans="1:22" ht="21" x14ac:dyDescent="0.5">
      <c r="A3" s="4" t="s">
        <v>7</v>
      </c>
      <c r="B3" s="2"/>
      <c r="C3" s="2"/>
      <c r="D3" s="2"/>
      <c r="E3" s="2"/>
      <c r="F3" s="2"/>
      <c r="G3" s="2"/>
      <c r="H3" s="2"/>
      <c r="I3" s="2"/>
      <c r="J3" s="2"/>
      <c r="K3" s="9"/>
      <c r="L3" s="9"/>
      <c r="M3" s="3"/>
    </row>
    <row r="5" spans="1:22" ht="18.5" x14ac:dyDescent="0.45">
      <c r="B5" s="22" t="s">
        <v>34</v>
      </c>
      <c r="C5" s="22"/>
      <c r="D5" s="22"/>
      <c r="E5" s="22"/>
      <c r="F5" s="22"/>
      <c r="G5" s="22"/>
      <c r="H5" s="22"/>
      <c r="I5" s="22"/>
      <c r="J5" s="22"/>
      <c r="K5" s="22"/>
      <c r="L5" s="25"/>
      <c r="M5" s="25"/>
      <c r="N5" s="25"/>
      <c r="O5" s="25"/>
      <c r="P5" s="25"/>
      <c r="Q5" s="25"/>
      <c r="R5" s="16"/>
      <c r="S5" s="16"/>
      <c r="T5" s="16"/>
      <c r="U5" s="16"/>
      <c r="V5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2BCD-F1C0-47C1-A1C2-135E0C23D8E6}">
  <dimension ref="A1:Q9"/>
  <sheetViews>
    <sheetView workbookViewId="0">
      <selection activeCell="G9" sqref="G9"/>
    </sheetView>
  </sheetViews>
  <sheetFormatPr defaultRowHeight="14.5" x14ac:dyDescent="0.35"/>
  <cols>
    <col min="4" max="4" width="15" customWidth="1"/>
    <col min="5" max="5" width="11.81640625" customWidth="1"/>
    <col min="6" max="6" width="11.54296875" customWidth="1"/>
  </cols>
  <sheetData>
    <row r="1" spans="1:17" ht="21" x14ac:dyDescent="0.5">
      <c r="A1" s="4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  <c r="O1" s="5"/>
      <c r="P1" s="5"/>
      <c r="Q1" s="5"/>
    </row>
    <row r="2" spans="1:17" ht="21" x14ac:dyDescent="0.5">
      <c r="A2" s="4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  <c r="O2" s="5"/>
      <c r="P2" s="5"/>
      <c r="Q2" s="5"/>
    </row>
    <row r="4" spans="1:17" ht="18.5" x14ac:dyDescent="0.45">
      <c r="A4" t="s">
        <v>39</v>
      </c>
      <c r="B4" s="20" t="s">
        <v>35</v>
      </c>
      <c r="C4" s="20"/>
      <c r="D4" s="20"/>
      <c r="E4" s="20"/>
      <c r="F4" s="20"/>
      <c r="G4" s="20"/>
      <c r="H4" s="20"/>
      <c r="I4" s="20"/>
    </row>
    <row r="5" spans="1:17" ht="18.5" x14ac:dyDescent="0.45">
      <c r="B5" s="20" t="s">
        <v>36</v>
      </c>
      <c r="C5" s="20"/>
      <c r="D5" s="20"/>
      <c r="E5" s="20"/>
      <c r="F5" s="20"/>
      <c r="G5" s="20"/>
      <c r="H5" s="20"/>
      <c r="I5" s="20"/>
    </row>
    <row r="6" spans="1:17" ht="18.5" x14ac:dyDescent="0.45">
      <c r="B6" s="20" t="s">
        <v>37</v>
      </c>
      <c r="C6" s="20"/>
      <c r="D6" s="20"/>
      <c r="E6" s="20"/>
      <c r="F6" s="20"/>
      <c r="G6" s="20"/>
      <c r="H6" s="20"/>
      <c r="I6" s="20"/>
    </row>
    <row r="7" spans="1:17" ht="18.5" x14ac:dyDescent="0.45">
      <c r="B7" s="20"/>
      <c r="C7" s="20"/>
      <c r="D7" s="20"/>
      <c r="E7" s="20"/>
      <c r="F7" s="20"/>
      <c r="G7" s="20"/>
      <c r="H7" s="20"/>
      <c r="I7" s="20"/>
    </row>
    <row r="8" spans="1:17" ht="18.5" x14ac:dyDescent="0.45">
      <c r="B8" s="20" t="s">
        <v>38</v>
      </c>
      <c r="C8" s="20"/>
      <c r="D8" s="20"/>
      <c r="E8" s="20"/>
      <c r="F8" s="20"/>
      <c r="G8" s="20"/>
      <c r="H8" s="20"/>
      <c r="I8" s="20"/>
    </row>
    <row r="9" spans="1:17" ht="18.5" x14ac:dyDescent="0.45">
      <c r="B9" s="24" t="s">
        <v>40</v>
      </c>
      <c r="C9" s="24"/>
      <c r="D9" s="24"/>
      <c r="E9" s="20"/>
      <c r="F9" s="20"/>
      <c r="G9" s="20"/>
      <c r="H9" s="20"/>
      <c r="I9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FF4C-A743-4991-9FAD-FDEBA9474843}">
  <dimension ref="A1:U9"/>
  <sheetViews>
    <sheetView workbookViewId="0">
      <selection activeCell="M8" sqref="J8:M8"/>
    </sheetView>
  </sheetViews>
  <sheetFormatPr defaultRowHeight="14.5" x14ac:dyDescent="0.35"/>
  <cols>
    <col min="3" max="3" width="36.7265625" customWidth="1"/>
  </cols>
  <sheetData>
    <row r="1" spans="1:21" ht="21" x14ac:dyDescent="0.5">
      <c r="A1" s="4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"/>
      <c r="S1" s="9"/>
      <c r="T1" s="9"/>
      <c r="U1" s="9"/>
    </row>
    <row r="3" spans="1:21" ht="21" x14ac:dyDescent="0.5">
      <c r="B3" s="8"/>
      <c r="C3" s="8"/>
      <c r="D3" s="8"/>
      <c r="E3" s="8"/>
      <c r="F3" s="8"/>
      <c r="G3" s="8"/>
      <c r="H3" s="8"/>
      <c r="I3" s="8"/>
    </row>
    <row r="4" spans="1:21" ht="21" x14ac:dyDescent="0.5">
      <c r="B4" s="8"/>
      <c r="C4" s="26" t="s">
        <v>42</v>
      </c>
      <c r="D4" s="26">
        <v>5000</v>
      </c>
      <c r="E4" s="8"/>
      <c r="F4" s="8"/>
      <c r="G4" s="8"/>
      <c r="H4" s="8"/>
      <c r="I4" s="8"/>
    </row>
    <row r="5" spans="1:21" ht="21" x14ac:dyDescent="0.5">
      <c r="B5" s="8"/>
      <c r="C5" s="26" t="s">
        <v>41</v>
      </c>
      <c r="D5" s="26">
        <v>100</v>
      </c>
      <c r="E5" s="8"/>
      <c r="F5" s="8"/>
      <c r="G5" s="8"/>
      <c r="H5" s="8"/>
      <c r="I5" s="8"/>
    </row>
    <row r="6" spans="1:21" ht="21" x14ac:dyDescent="0.5">
      <c r="B6" s="8"/>
      <c r="C6" s="26"/>
      <c r="D6" s="26"/>
      <c r="E6" s="8"/>
      <c r="F6" s="8"/>
      <c r="G6" s="8"/>
      <c r="H6" s="8"/>
      <c r="I6" s="8"/>
    </row>
    <row r="7" spans="1:21" ht="21" x14ac:dyDescent="0.5">
      <c r="B7" s="8"/>
      <c r="C7" s="27" t="s">
        <v>43</v>
      </c>
      <c r="D7" s="28">
        <f>D4/SQRT(D5)</f>
        <v>500</v>
      </c>
      <c r="E7" s="8"/>
      <c r="F7" s="8"/>
      <c r="G7" s="8"/>
      <c r="H7" s="8"/>
      <c r="I7" s="8"/>
    </row>
    <row r="8" spans="1:21" ht="21" x14ac:dyDescent="0.5">
      <c r="B8" s="8"/>
      <c r="C8" s="28" t="s">
        <v>44</v>
      </c>
      <c r="D8" s="28"/>
      <c r="E8" s="28"/>
      <c r="F8" s="28"/>
      <c r="G8" s="28"/>
      <c r="H8" s="29"/>
      <c r="I8" s="29"/>
      <c r="J8" s="16"/>
      <c r="K8" s="16"/>
      <c r="L8" s="16"/>
      <c r="M8" s="16"/>
    </row>
    <row r="9" spans="1:21" ht="21" x14ac:dyDescent="0.5">
      <c r="B9" s="8"/>
      <c r="C9" s="8"/>
      <c r="D9" s="8"/>
      <c r="E9" s="8"/>
      <c r="F9" s="8"/>
      <c r="G9" s="8"/>
      <c r="H9" s="8"/>
      <c r="I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AFD7-9E2D-47FB-977D-B69B134B17A7}">
  <dimension ref="A1:O10"/>
  <sheetViews>
    <sheetView workbookViewId="0">
      <selection activeCell="G11" sqref="G11"/>
    </sheetView>
  </sheetViews>
  <sheetFormatPr defaultRowHeight="14.5" x14ac:dyDescent="0.35"/>
  <cols>
    <col min="4" max="4" width="14.453125" customWidth="1"/>
    <col min="5" max="5" width="11.36328125" customWidth="1"/>
  </cols>
  <sheetData>
    <row r="1" spans="1:15" ht="21" x14ac:dyDescent="0.5">
      <c r="A1" s="4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9"/>
      <c r="N1" s="9"/>
      <c r="O1" s="9"/>
    </row>
    <row r="2" spans="1:15" ht="21" x14ac:dyDescent="0.5">
      <c r="A2" s="4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9"/>
      <c r="N2" s="9"/>
      <c r="O2" s="9"/>
    </row>
    <row r="3" spans="1:15" x14ac:dyDescent="0.35">
      <c r="D3" t="s">
        <v>47</v>
      </c>
      <c r="E3" t="s">
        <v>48</v>
      </c>
    </row>
    <row r="5" spans="1:15" x14ac:dyDescent="0.35">
      <c r="D5" s="13" t="s">
        <v>23</v>
      </c>
      <c r="E5" s="13">
        <v>100</v>
      </c>
    </row>
    <row r="6" spans="1:15" x14ac:dyDescent="0.35">
      <c r="D6" s="13" t="s">
        <v>45</v>
      </c>
      <c r="E6" s="13">
        <v>40</v>
      </c>
    </row>
    <row r="7" spans="1:15" x14ac:dyDescent="0.35">
      <c r="D7" s="13" t="s">
        <v>46</v>
      </c>
      <c r="E7" s="13">
        <v>30</v>
      </c>
    </row>
    <row r="8" spans="1:15" x14ac:dyDescent="0.35">
      <c r="D8" s="13" t="s">
        <v>26</v>
      </c>
      <c r="E8" s="13">
        <v>10</v>
      </c>
    </row>
    <row r="9" spans="1:15" x14ac:dyDescent="0.35">
      <c r="D9" s="13"/>
      <c r="E9" s="13"/>
    </row>
    <row r="10" spans="1:15" x14ac:dyDescent="0.35">
      <c r="D10" s="13" t="s">
        <v>27</v>
      </c>
      <c r="E10" s="15">
        <f>(E6+E7-E8)/E5</f>
        <v>0.6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8735-BA37-4F71-A5AC-457196911E0E}">
  <dimension ref="A1:Q9"/>
  <sheetViews>
    <sheetView workbookViewId="0">
      <selection activeCell="I8" sqref="I8"/>
    </sheetView>
  </sheetViews>
  <sheetFormatPr defaultRowHeight="14.5" x14ac:dyDescent="0.35"/>
  <cols>
    <col min="3" max="3" width="24.54296875" customWidth="1"/>
    <col min="4" max="4" width="12.7265625" customWidth="1"/>
  </cols>
  <sheetData>
    <row r="1" spans="1:17" s="1" customFormat="1" ht="21" x14ac:dyDescent="0.35">
      <c r="A1" s="4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.5" x14ac:dyDescent="0.45">
      <c r="B2" s="17"/>
      <c r="C2" s="17"/>
      <c r="D2" s="17"/>
      <c r="E2" s="17"/>
    </row>
    <row r="3" spans="1:17" ht="18.5" x14ac:dyDescent="0.45">
      <c r="B3" s="17"/>
      <c r="C3" s="17" t="s">
        <v>49</v>
      </c>
      <c r="D3" s="17">
        <v>52</v>
      </c>
      <c r="E3" s="17"/>
    </row>
    <row r="4" spans="1:17" ht="18.5" x14ac:dyDescent="0.45">
      <c r="B4" s="17"/>
      <c r="C4" s="17" t="s">
        <v>50</v>
      </c>
      <c r="D4" s="17">
        <v>2</v>
      </c>
      <c r="E4" s="17"/>
    </row>
    <row r="5" spans="1:17" ht="18.5" x14ac:dyDescent="0.45">
      <c r="B5" s="17"/>
      <c r="C5" s="17" t="s">
        <v>51</v>
      </c>
      <c r="D5" s="17">
        <v>4</v>
      </c>
      <c r="E5" s="17"/>
    </row>
    <row r="6" spans="1:17" ht="18.5" x14ac:dyDescent="0.45">
      <c r="B6" s="17"/>
      <c r="C6" s="17"/>
      <c r="D6" s="17"/>
      <c r="E6" s="17"/>
    </row>
    <row r="7" spans="1:17" ht="18.5" x14ac:dyDescent="0.45">
      <c r="B7" s="17"/>
      <c r="C7" s="17" t="s">
        <v>27</v>
      </c>
      <c r="D7" s="25">
        <f>COMBIN(D5,D4)/COMBIN(D3,D4)</f>
        <v>4.5248868778280547E-3</v>
      </c>
      <c r="E7" s="17"/>
    </row>
    <row r="8" spans="1:17" ht="18.5" x14ac:dyDescent="0.45">
      <c r="B8" s="17"/>
      <c r="C8" s="17"/>
      <c r="D8" s="17"/>
      <c r="E8" s="17"/>
    </row>
    <row r="9" spans="1:17" ht="18.5" x14ac:dyDescent="0.45">
      <c r="B9" s="17"/>
      <c r="C9" s="17"/>
      <c r="D9" s="17"/>
      <c r="E9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B7DF-BFA1-4318-83F4-48E870E8701B}">
  <dimension ref="A1:J13"/>
  <sheetViews>
    <sheetView workbookViewId="0">
      <selection activeCell="M8" sqref="M8"/>
    </sheetView>
  </sheetViews>
  <sheetFormatPr defaultRowHeight="14.5" x14ac:dyDescent="0.35"/>
  <cols>
    <col min="3" max="3" width="21" customWidth="1"/>
    <col min="4" max="4" width="10.453125" customWidth="1"/>
  </cols>
  <sheetData>
    <row r="1" spans="1:10" s="2" customFormat="1" ht="21" x14ac:dyDescent="0.5">
      <c r="A1" s="4" t="s">
        <v>14</v>
      </c>
    </row>
    <row r="3" spans="1:10" ht="18.5" x14ac:dyDescent="0.45">
      <c r="C3" s="19" t="s">
        <v>52</v>
      </c>
      <c r="D3" s="19">
        <v>5</v>
      </c>
      <c r="E3" s="20"/>
      <c r="F3" s="20"/>
      <c r="G3" s="20"/>
    </row>
    <row r="4" spans="1:10" ht="18.5" x14ac:dyDescent="0.45">
      <c r="C4" s="19" t="s">
        <v>53</v>
      </c>
      <c r="D4" s="21">
        <v>0.02</v>
      </c>
      <c r="E4" s="20"/>
      <c r="F4" s="20"/>
      <c r="G4" s="20"/>
    </row>
    <row r="5" spans="1:10" ht="18.5" x14ac:dyDescent="0.45">
      <c r="C5" s="19"/>
      <c r="D5" s="19"/>
      <c r="E5" s="20"/>
      <c r="F5" s="20"/>
      <c r="G5" s="20"/>
    </row>
    <row r="6" spans="1:10" ht="18.5" x14ac:dyDescent="0.45">
      <c r="C6" s="19" t="s">
        <v>55</v>
      </c>
      <c r="D6" s="19">
        <v>5</v>
      </c>
      <c r="E6" s="20"/>
      <c r="F6" s="20"/>
      <c r="G6" s="20"/>
    </row>
    <row r="7" spans="1:10" ht="18.5" x14ac:dyDescent="0.45">
      <c r="C7" s="19" t="s">
        <v>56</v>
      </c>
      <c r="D7" s="19">
        <v>0</v>
      </c>
      <c r="E7" s="20"/>
      <c r="F7" s="20"/>
      <c r="G7" s="20"/>
    </row>
    <row r="8" spans="1:10" ht="18.5" x14ac:dyDescent="0.45">
      <c r="C8" s="19" t="s">
        <v>57</v>
      </c>
      <c r="D8" s="19">
        <v>0.02</v>
      </c>
      <c r="E8" s="20"/>
      <c r="F8" s="20"/>
      <c r="G8" s="20"/>
    </row>
    <row r="9" spans="1:10" ht="18.5" x14ac:dyDescent="0.45">
      <c r="C9" s="19"/>
      <c r="D9" s="19"/>
      <c r="E9" s="20"/>
      <c r="F9" s="20"/>
      <c r="G9" s="20"/>
    </row>
    <row r="10" spans="1:10" ht="18.5" x14ac:dyDescent="0.45">
      <c r="C10" s="19" t="s">
        <v>54</v>
      </c>
      <c r="D10" s="22">
        <f>_xlfn.BINOM.DIST(D7,D6,D8,FALSE)</f>
        <v>0.90392079680000004</v>
      </c>
      <c r="E10" s="20"/>
      <c r="F10" s="20"/>
      <c r="G10" s="20"/>
    </row>
    <row r="11" spans="1:10" ht="18.5" x14ac:dyDescent="0.45">
      <c r="C11" s="20"/>
      <c r="D11" s="20"/>
      <c r="E11" s="20"/>
      <c r="F11" s="20"/>
      <c r="G11" s="20"/>
    </row>
    <row r="12" spans="1:10" ht="18.5" x14ac:dyDescent="0.45">
      <c r="C12" s="23" t="s">
        <v>58</v>
      </c>
      <c r="D12" s="23"/>
      <c r="E12" s="23"/>
      <c r="F12" s="24"/>
      <c r="G12" s="24"/>
      <c r="H12" s="16"/>
      <c r="I12" s="16"/>
      <c r="J12" s="16"/>
    </row>
    <row r="13" spans="1:10" ht="18.5" x14ac:dyDescent="0.45">
      <c r="C13" s="20"/>
      <c r="D13" s="20"/>
      <c r="E13" s="20"/>
      <c r="F13" s="20"/>
      <c r="G13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BC1D-3C02-405A-969A-7F479E5F6B3C}">
  <dimension ref="A1:W10"/>
  <sheetViews>
    <sheetView workbookViewId="0">
      <selection activeCell="C11" sqref="C11"/>
    </sheetView>
  </sheetViews>
  <sheetFormatPr defaultRowHeight="14.5" x14ac:dyDescent="0.35"/>
  <cols>
    <col min="2" max="2" width="32" customWidth="1"/>
    <col min="3" max="3" width="35.7265625" customWidth="1"/>
    <col min="5" max="5" width="15" customWidth="1"/>
  </cols>
  <sheetData>
    <row r="1" spans="1:23" s="2" customFormat="1" ht="21" x14ac:dyDescent="0.5">
      <c r="A1" s="4" t="s">
        <v>15</v>
      </c>
      <c r="O1" s="6"/>
      <c r="P1" s="6"/>
      <c r="Q1" s="6"/>
      <c r="R1" s="6"/>
      <c r="S1" s="6"/>
      <c r="T1" s="6"/>
      <c r="U1" s="6"/>
      <c r="V1" s="6"/>
      <c r="W1" s="6"/>
    </row>
    <row r="2" spans="1:23" x14ac:dyDescent="0.35">
      <c r="O2" s="7"/>
      <c r="P2" s="7"/>
      <c r="Q2" s="7"/>
      <c r="R2" s="7"/>
      <c r="S2" s="7"/>
      <c r="T2" s="7"/>
      <c r="U2" s="7"/>
      <c r="V2" s="7"/>
      <c r="W2" s="7"/>
    </row>
    <row r="3" spans="1:23" ht="18.5" x14ac:dyDescent="0.45">
      <c r="B3" s="18" t="s">
        <v>59</v>
      </c>
      <c r="C3" s="18" t="s">
        <v>60</v>
      </c>
      <c r="D3" s="17"/>
      <c r="E3" s="17"/>
      <c r="F3" s="17"/>
      <c r="G3" s="17"/>
      <c r="H3" s="17"/>
      <c r="I3" s="17"/>
      <c r="J3" s="17"/>
    </row>
    <row r="4" spans="1:23" ht="18.5" x14ac:dyDescent="0.45">
      <c r="B4" s="17" t="s">
        <v>61</v>
      </c>
      <c r="C4" s="17" t="s">
        <v>62</v>
      </c>
      <c r="D4" s="17"/>
      <c r="E4" s="17"/>
      <c r="F4" s="17"/>
      <c r="G4" s="17"/>
      <c r="H4" s="17"/>
      <c r="I4" s="17"/>
      <c r="J4" s="17"/>
    </row>
    <row r="5" spans="1:23" ht="18.5" x14ac:dyDescent="0.45">
      <c r="B5" s="17" t="s">
        <v>63</v>
      </c>
      <c r="C5" s="17" t="s">
        <v>64</v>
      </c>
      <c r="D5" s="17"/>
      <c r="E5" s="17"/>
      <c r="F5" s="17"/>
      <c r="G5" s="17"/>
      <c r="H5" s="17"/>
      <c r="I5" s="17"/>
      <c r="J5" s="17"/>
    </row>
    <row r="6" spans="1:23" ht="18.5" x14ac:dyDescent="0.45">
      <c r="B6" s="17" t="s">
        <v>65</v>
      </c>
      <c r="C6" s="17" t="s">
        <v>66</v>
      </c>
      <c r="D6" s="17"/>
      <c r="E6" s="17"/>
      <c r="F6" s="17"/>
      <c r="G6" s="17"/>
      <c r="H6" s="17"/>
      <c r="I6" s="17"/>
      <c r="J6" s="17"/>
    </row>
    <row r="7" spans="1:23" ht="18.5" x14ac:dyDescent="0.45">
      <c r="B7" s="17" t="s">
        <v>67</v>
      </c>
      <c r="C7" s="17" t="s">
        <v>68</v>
      </c>
      <c r="D7" s="17"/>
      <c r="E7" s="17"/>
      <c r="F7" s="17"/>
      <c r="G7" s="17"/>
      <c r="H7" s="17"/>
      <c r="I7" s="17"/>
      <c r="J7" s="17"/>
    </row>
    <row r="8" spans="1:23" ht="18.5" x14ac:dyDescent="0.45">
      <c r="B8" s="17"/>
      <c r="C8" s="17"/>
      <c r="D8" s="17"/>
      <c r="E8" s="17"/>
      <c r="F8" s="17"/>
      <c r="G8" s="17"/>
      <c r="H8" s="17"/>
      <c r="I8" s="17"/>
      <c r="J8" s="17"/>
    </row>
    <row r="9" spans="1:23" ht="18.5" x14ac:dyDescent="0.45">
      <c r="B9" s="17" t="s">
        <v>69</v>
      </c>
      <c r="C9" s="17"/>
      <c r="D9" s="17"/>
      <c r="E9" s="17"/>
      <c r="F9" s="17"/>
      <c r="G9" s="17"/>
      <c r="H9" s="17"/>
      <c r="I9" s="17"/>
      <c r="J9" s="17"/>
    </row>
    <row r="10" spans="1:23" ht="18.5" x14ac:dyDescent="0.45">
      <c r="B10" s="17"/>
      <c r="C10" s="17"/>
      <c r="D10" s="17"/>
      <c r="E10" s="17"/>
      <c r="F10" s="17"/>
      <c r="G10" s="17"/>
      <c r="H10" s="17"/>
      <c r="I10" s="17"/>
      <c r="J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  <vt:lpstr>Ques 9</vt:lpstr>
      <vt:lpstr>Ques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s7249</dc:creator>
  <cp:lastModifiedBy>Devansh Goel</cp:lastModifiedBy>
  <dcterms:created xsi:type="dcterms:W3CDTF">2026-01-06T08:34:43Z</dcterms:created>
  <dcterms:modified xsi:type="dcterms:W3CDTF">2026-01-06T09:20:59Z</dcterms:modified>
</cp:coreProperties>
</file>