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Ques 1" sheetId="1" r:id="rId1"/>
    <sheet name="Ques 2" sheetId="2" r:id="rId2"/>
    <sheet name="Ques 3" sheetId="3" r:id="rId3"/>
    <sheet name="Ques 4" sheetId="4" r:id="rId4"/>
    <sheet name="Ques 5" sheetId="5" r:id="rId5"/>
    <sheet name="Ques 6" sheetId="6" r:id="rId6"/>
    <sheet name="Ques 7" sheetId="7" r:id="rId7"/>
    <sheet name="Ques 8" sheetId="8" r:id="rId8"/>
    <sheet name="Ques 9" sheetId="9" r:id="rId9"/>
    <sheet name="Ques 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<sst xmlns="http://schemas.openxmlformats.org/spreadsheetml/2006/main" count="129" uniqueCount="124">
  <si>
    <t>Ques 1:</t>
  </si>
  <si>
    <t>Understanding Central Tendancy :</t>
  </si>
  <si>
    <t>A bakery tracks the daily sales of muffins (in dozens) over a week :( 10,12,11,15,14,12).</t>
  </si>
  <si>
    <t>What is the most representative value of their weekly sales , and why?</t>
  </si>
  <si>
    <t>ANS</t>
  </si>
  <si>
    <t>Days</t>
  </si>
  <si>
    <t>weekly sales</t>
  </si>
  <si>
    <t>Central Tendancy:</t>
  </si>
  <si>
    <t xml:space="preserve">12 dozens is the most reprensentative value </t>
  </si>
  <si>
    <t>Mode</t>
  </si>
  <si>
    <t>because of most frequent value</t>
  </si>
  <si>
    <t>median</t>
  </si>
  <si>
    <t>median also 12</t>
  </si>
  <si>
    <t>Mean</t>
  </si>
  <si>
    <t>and the mean also aprroximate</t>
  </si>
  <si>
    <t>Que 2:</t>
  </si>
  <si>
    <t xml:space="preserve">Mean in Real Life </t>
  </si>
  <si>
    <t>A teacher records the marks of her students in a short quiz ( 12,15,14,16,18,20,19)</t>
  </si>
  <si>
    <t>What is the mean score , and what does it tell us about the class performance.</t>
  </si>
  <si>
    <t xml:space="preserve">Students </t>
  </si>
  <si>
    <t>Marks</t>
  </si>
  <si>
    <t xml:space="preserve">Total Marks </t>
  </si>
  <si>
    <t>(Sum of all students marks)</t>
  </si>
  <si>
    <t xml:space="preserve">No.of students </t>
  </si>
  <si>
    <t>Mean score</t>
  </si>
  <si>
    <t xml:space="preserve">The mean score of the class is approximately 16.29, which shows that on average students performed fairly well in </t>
  </si>
  <si>
    <t>the quiz.</t>
  </si>
  <si>
    <t>Ques 3:</t>
  </si>
  <si>
    <t xml:space="preserve">Mode in Real Life </t>
  </si>
  <si>
    <t>A Store records the shoe sizes sold in one day ,( 7,8,9,8,8,10,7,9).</t>
  </si>
  <si>
    <t>what is the mode,ad why is this information useful for the store manage?</t>
  </si>
  <si>
    <t>Ans</t>
  </si>
  <si>
    <t>In a one day</t>
  </si>
  <si>
    <t>shoe sizes sold</t>
  </si>
  <si>
    <t xml:space="preserve"> Mode</t>
  </si>
  <si>
    <t>Second part</t>
  </si>
  <si>
    <t>The mode is 8, which means shoe size 8 was sold the most in one day.</t>
  </si>
  <si>
    <t>This information is useful for the store manager to stock more shoes</t>
  </si>
  <si>
    <t>of size 8 to meet customer demand.</t>
  </si>
  <si>
    <t>Que 4:</t>
  </si>
  <si>
    <t>Median in Real life :</t>
  </si>
  <si>
    <t>A Car dealer notes the prices of used cars :</t>
  </si>
  <si>
    <t>cars : ($8000,$9500, $10200,$11000,$50,000)</t>
  </si>
  <si>
    <t>Why is the median a better measure measure than the mean in this case ? Calculate the median.</t>
  </si>
  <si>
    <t>No .of cars</t>
  </si>
  <si>
    <t>Price of used cars</t>
  </si>
  <si>
    <t>Median</t>
  </si>
  <si>
    <t>The median price of the used cars is $10,200 .</t>
  </si>
  <si>
    <t xml:space="preserve">the median is a better measure than the mean because the very high price of $50,000 </t>
  </si>
  <si>
    <t>would increase the mean and not represent the typical car price.</t>
  </si>
  <si>
    <t>Ques 5:</t>
  </si>
  <si>
    <t>Dispersion intoduction :</t>
  </si>
  <si>
    <t>A Student times how long it takes to finish a puzzle each day :( 25, 30,27,40).</t>
  </si>
  <si>
    <t>What does the range tell us about the variation in the students puzzle - solving time?</t>
  </si>
  <si>
    <t>Day</t>
  </si>
  <si>
    <t>Time taken( Minutes)</t>
  </si>
  <si>
    <t>Maximum value</t>
  </si>
  <si>
    <t>Range:</t>
  </si>
  <si>
    <t>Minimum value</t>
  </si>
  <si>
    <t>The range is 15 minutes , which shows the variation between the fastest and slowest puzzle</t>
  </si>
  <si>
    <t>solving times. A higher range indications more variability in the students performace .</t>
  </si>
  <si>
    <t>Ques 6:</t>
  </si>
  <si>
    <t>Range in Action .</t>
  </si>
  <si>
    <t>A farmer records the weekly weight of harvested apples(kg) ( 100,105,98,110,120)</t>
  </si>
  <si>
    <t>Find the range. How can this help the farmer in planning his packaging ?</t>
  </si>
  <si>
    <t>Weekly weight of harvested apples</t>
  </si>
  <si>
    <t>Range</t>
  </si>
  <si>
    <t>The range is 22kg , which shows the difference between the lowest and hghest weekly apples harvested.</t>
  </si>
  <si>
    <t>this helps farmer plan packaging by understanding how much the harvest can vary from week to week .</t>
  </si>
  <si>
    <t>Que 7:</t>
  </si>
  <si>
    <t xml:space="preserve">Variance for Decisions - making </t>
  </si>
  <si>
    <t>Two delivery companies track delivery delays (in minutes)</t>
  </si>
  <si>
    <t>1 Company A: variance = 5</t>
  </si>
  <si>
    <t>2.Company B; variance =15</t>
  </si>
  <si>
    <t>which company is more consistent ,and why ?</t>
  </si>
  <si>
    <t>Sol.</t>
  </si>
  <si>
    <r>
      <rPr>
        <b/>
        <i/>
        <u/>
        <sz val="11"/>
        <color rgb="FF000000"/>
        <rFont val="Calibri"/>
        <charset val="134"/>
      </rPr>
      <t>Step 1:</t>
    </r>
    <r>
      <rPr>
        <sz val="11"/>
        <color rgb="FF000000"/>
        <rFont val="Calibri"/>
        <charset val="134"/>
      </rPr>
      <t xml:space="preserve"> Understand what variance means Variance measures how spread out the data is from the average</t>
    </r>
  </si>
  <si>
    <t>Lower variance = more consistent (less variation)</t>
  </si>
  <si>
    <t>Higher variance = less consistent (more variation)</t>
  </si>
  <si>
    <r>
      <rPr>
        <b/>
        <i/>
        <u/>
        <sz val="11"/>
        <color rgb="FF000000"/>
        <rFont val="Calibri"/>
        <charset val="134"/>
        <scheme val="minor"/>
      </rPr>
      <t xml:space="preserve">Step 2: </t>
    </r>
    <r>
      <rPr>
        <sz val="11"/>
        <color rgb="FF000000"/>
        <rFont val="Calibri"/>
        <charset val="134"/>
        <scheme val="minor"/>
      </rPr>
      <t>Compare the variances</t>
    </r>
  </si>
  <si>
    <t>Company A has variance of 6 (lower)</t>
  </si>
  <si>
    <t>Company B has variance of 15 (higher)</t>
  </si>
  <si>
    <t xml:space="preserve"> Company A is more consistent. Company A has a lower variance of 6, while Company B's variance is 15. This means Company A's delivery delays vary less from their average. In practical terms, Company A's delivery times are more predictable and reliable. If you need to plan around delivery times, Company A would be the better choice because you can more accurately predict when your package will arrive. Company B's higher variance makes their delivery times more unpredictable, with greater differences from one delivery to another.</t>
  </si>
  <si>
    <t>Ques 8:</t>
  </si>
  <si>
    <t xml:space="preserve">Standard Deviation in context </t>
  </si>
  <si>
    <t>A finance student compares the daily price fluctuations of two cryptocurrencies.</t>
  </si>
  <si>
    <t>1. Coin A; Standard deviation=$30</t>
  </si>
  <si>
    <t>2. Coin B; Standard deviation =$120</t>
  </si>
  <si>
    <t xml:space="preserve">Which coin is riskier to invest in,and why </t>
  </si>
  <si>
    <t>Coin B: is riskier to invest.</t>
  </si>
  <si>
    <r>
      <rPr>
        <b/>
        <sz val="14"/>
        <color rgb="FF000000"/>
        <rFont val="Calibri"/>
        <charset val="134"/>
        <scheme val="minor"/>
      </rPr>
      <t xml:space="preserve">Why? </t>
    </r>
    <r>
      <rPr>
        <sz val="14"/>
        <color rgb="FF000000"/>
        <rFont val="Calibri"/>
        <charset val="134"/>
        <scheme val="minor"/>
      </rPr>
      <t>Because Coin B has a higher standard deviation , its prices fluctuate more, making its riskier.</t>
    </r>
  </si>
  <si>
    <t>Ques 9:</t>
  </si>
  <si>
    <t>Combining Deviation in context :</t>
  </si>
  <si>
    <t>A Family records their monthly electricity usage (in Kwh): ( 400,420,390,450,410)</t>
  </si>
  <si>
    <t>Find the mean and standard devition . What do to these values toghether tell you about the family</t>
  </si>
  <si>
    <t>familys enegy use.</t>
  </si>
  <si>
    <t xml:space="preserve">Month </t>
  </si>
  <si>
    <t>Records in ( Kwh)</t>
  </si>
  <si>
    <t>Jan</t>
  </si>
  <si>
    <t>Feb</t>
  </si>
  <si>
    <t>March</t>
  </si>
  <si>
    <t>Standard deviation</t>
  </si>
  <si>
    <t>April</t>
  </si>
  <si>
    <t>May</t>
  </si>
  <si>
    <t>"What do these values together tell you?</t>
  </si>
  <si>
    <t>The mean electricity usage is 414 kwh, and the low standard deviation (20.59)</t>
  </si>
  <si>
    <t>indicates that the familys monthly energy comsuption is fairly consistent with no longer fluctuation.</t>
  </si>
  <si>
    <t>Ques 10:</t>
  </si>
  <si>
    <t>A Basketball players points in 8 games are recorded .( 18,20,22,25,17,19,21).</t>
  </si>
  <si>
    <t xml:space="preserve">Find the mean , median, mode , range and standard deviation . </t>
  </si>
  <si>
    <t>what insights can these measures provide about the players scoring performance?</t>
  </si>
  <si>
    <t>Games</t>
  </si>
  <si>
    <t>Records or games</t>
  </si>
  <si>
    <t>1. Mean</t>
  </si>
  <si>
    <t>2. Median</t>
  </si>
  <si>
    <t>3. Mode</t>
  </si>
  <si>
    <t>No mode.</t>
  </si>
  <si>
    <t>4. Range</t>
  </si>
  <si>
    <t xml:space="preserve">5.Standard deviation </t>
  </si>
  <si>
    <t>Part 2</t>
  </si>
  <si>
    <t xml:space="preserve">The players scores an average of around 20 points per game . </t>
  </si>
  <si>
    <t xml:space="preserve">the median score is close to the mean , showing balanced performance . The low standard deviation </t>
  </si>
  <si>
    <t xml:space="preserve">indicates that the players , scoring is fairly consistent ,with no extreme fluctuations . The range shows that </t>
  </si>
  <si>
    <t>while scores vary the variations in not very large.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</si>
</sst>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409]* #,##0.00_ ;_-[$$-409]* \-#,##0.00\ ;_-[$$-409]* &quot;-&quot;??_ ;_-@_ "/>
  </numFmts>
  <fonts count="39">
    <font>
      <sz val="11"/>
      <color theme="1"/>
      <name val="Calibri"/>
      <charset val="134"/>
      <scheme val="minor"/>
    </font>
    <font>
      <b/>
      <sz val="16"/>
      <color theme="1"/>
      <name val="Calibri"/>
      <charset val="134"/>
      <scheme val="minor"/>
    </font>
    <font>
      <sz val="16"/>
      <color theme="1"/>
      <name val="Calibri"/>
      <charset val="134"/>
      <scheme val="minor"/>
    </font>
    <font>
      <b/>
      <sz val="11"/>
      <color theme="1"/>
      <name val="Calibri"/>
      <charset val="134"/>
      <scheme val="minor"/>
    </font>
    <font>
      <sz val="14"/>
      <color theme="1"/>
      <name val="Calibri"/>
      <charset val="134"/>
      <scheme val="minor"/>
    </font>
    <font>
      <b/>
      <sz val="14"/>
      <color theme="1"/>
      <name val="Calibri"/>
      <charset val="134"/>
      <scheme val="minor"/>
    </font>
    <font>
      <sz val="14"/>
      <color rgb="FF000000"/>
      <name val="Calibri"/>
      <charset val="134"/>
      <scheme val="minor"/>
    </font>
    <font>
      <sz val="11"/>
      <color rgb="FF000000"/>
      <name val="Calibri"/>
      <charset val="134"/>
    </font>
    <font>
      <sz val="11"/>
      <color rgb="FF000000"/>
      <name val="Calibri"/>
      <charset val="134"/>
      <scheme val="minor"/>
    </font>
    <font>
      <b/>
      <sz val="16"/>
      <color theme="1"/>
      <name val="Calibri"/>
      <charset val="134"/>
      <scheme val="minor"/>
    </font>
    <font>
      <sz val="16"/>
      <color theme="1"/>
      <name val="Calibri"/>
      <charset val="134"/>
      <scheme val="minor"/>
    </font>
    <font>
      <sz val="14"/>
      <color theme="1"/>
      <name val="Calibri"/>
      <charset val="134"/>
      <scheme val="minor"/>
    </font>
    <font>
      <b/>
      <sz val="14"/>
      <color theme="1"/>
      <name val="Calibri"/>
      <charset val="134"/>
      <scheme val="minor"/>
    </font>
    <font>
      <b/>
      <sz val="11"/>
      <color theme="1"/>
      <name val="Calibri"/>
      <charset val="134"/>
      <scheme val="minor"/>
    </font>
    <font>
      <b/>
      <sz val="12"/>
      <color theme="1"/>
      <name val="Calibri"/>
      <charset val="134"/>
      <scheme val="minor"/>
    </font>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u/>
      <sz val="11"/>
      <color rgb="FF000000"/>
      <name val="Calibri"/>
      <charset val="134"/>
      <scheme val="minor"/>
    </font>
    <font>
      <b/>
      <sz val="14"/>
      <color rgb="FF000000"/>
      <name val="Calibri"/>
      <charset val="134"/>
      <scheme val="minor"/>
    </font>
    <font>
      <b/>
      <i/>
      <u/>
      <sz val="11"/>
      <color rgb="FF000000"/>
      <name val="Calibri"/>
      <charset val="134"/>
    </font>
  </fonts>
  <fills count="42">
    <fill>
      <patternFill patternType="none"/>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8"/>
        <bgColor indexed="64"/>
      </patternFill>
    </fill>
    <fill>
      <patternFill patternType="solid">
        <fgColor rgb="FF00B0F0"/>
        <bgColor indexed="64"/>
      </patternFill>
    </fill>
    <fill>
      <patternFill patternType="solid">
        <fgColor rgb="FF92D050"/>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177"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1"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12" borderId="10" applyNumberFormat="0" applyAlignment="0" applyProtection="0">
      <alignment vertical="center"/>
    </xf>
    <xf numFmtId="0" fontId="26" fillId="13" borderId="11" applyNumberFormat="0" applyAlignment="0" applyProtection="0">
      <alignment vertical="center"/>
    </xf>
    <xf numFmtId="0" fontId="27" fillId="13" borderId="10" applyNumberFormat="0" applyAlignment="0" applyProtection="0">
      <alignment vertical="center"/>
    </xf>
    <xf numFmtId="0" fontId="28" fillId="14"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cellStyleXfs>
  <cellXfs count="68">
    <xf numFmtId="0" fontId="0" fillId="0" borderId="0" xfId="0"/>
    <xf numFmtId="0" fontId="1" fillId="2" borderId="0" xfId="0" applyFont="1" applyFill="1"/>
    <xf numFmtId="0" fontId="2" fillId="2" borderId="0" xfId="0" applyFont="1" applyFill="1"/>
    <xf numFmtId="0" fontId="3" fillId="2" borderId="0" xfId="0" applyFont="1" applyFill="1"/>
    <xf numFmtId="0" fontId="0" fillId="2" borderId="0" xfId="0" applyFill="1"/>
    <xf numFmtId="0" fontId="3" fillId="0" borderId="0" xfId="0" applyFont="1" applyAlignment="1">
      <alignment horizontal="center"/>
    </xf>
    <xf numFmtId="0" fontId="3" fillId="0" borderId="1" xfId="0" applyFont="1" applyBorder="1"/>
    <xf numFmtId="0" fontId="3" fillId="0" borderId="2" xfId="0" applyFont="1" applyBorder="1"/>
    <xf numFmtId="0" fontId="0" fillId="3" borderId="0" xfId="0" applyFill="1"/>
    <xf numFmtId="0" fontId="3" fillId="0" borderId="3" xfId="0" applyFont="1" applyBorder="1"/>
    <xf numFmtId="0" fontId="3" fillId="0" borderId="4" xfId="0" applyFont="1" applyBorder="1"/>
    <xf numFmtId="0" fontId="1" fillId="0" borderId="0" xfId="0" applyFont="1"/>
    <xf numFmtId="0" fontId="1" fillId="4" borderId="0" xfId="0" applyFont="1" applyFill="1"/>
    <xf numFmtId="0" fontId="4" fillId="0" borderId="0" xfId="0" applyFont="1"/>
    <xf numFmtId="0" fontId="3" fillId="0" borderId="0" xfId="0" applyFont="1"/>
    <xf numFmtId="0" fontId="5" fillId="0" borderId="0" xfId="0" applyFont="1"/>
    <xf numFmtId="0" fontId="5" fillId="0" borderId="1" xfId="0" applyFont="1" applyBorder="1"/>
    <xf numFmtId="0" fontId="5" fillId="0" borderId="2" xfId="0" applyFont="1" applyBorder="1"/>
    <xf numFmtId="0" fontId="5" fillId="0" borderId="3" xfId="0" applyFont="1" applyBorder="1"/>
    <xf numFmtId="0" fontId="4" fillId="0" borderId="3" xfId="0" applyFont="1" applyBorder="1"/>
    <xf numFmtId="0" fontId="4" fillId="4" borderId="0" xfId="0" applyFont="1" applyFill="1"/>
    <xf numFmtId="0" fontId="5" fillId="4" borderId="0" xfId="0" applyFont="1" applyFill="1"/>
    <xf numFmtId="0" fontId="5" fillId="0" borderId="4" xfId="0" applyFont="1" applyBorder="1"/>
    <xf numFmtId="0" fontId="4" fillId="0" borderId="4" xfId="0" applyFont="1" applyBorder="1"/>
    <xf numFmtId="0" fontId="4" fillId="0" borderId="0" xfId="0" applyFont="1" applyBorder="1"/>
    <xf numFmtId="0" fontId="5" fillId="0" borderId="0" xfId="0" applyFont="1" applyFill="1" applyBorder="1"/>
    <xf numFmtId="0" fontId="4" fillId="5" borderId="0" xfId="0" applyFont="1" applyFill="1" applyBorder="1"/>
    <xf numFmtId="0" fontId="4" fillId="5" borderId="0" xfId="0" applyFont="1" applyFill="1"/>
    <xf numFmtId="0" fontId="6" fillId="5" borderId="0" xfId="0" applyFont="1" applyFill="1" applyAlignment="1"/>
    <xf numFmtId="0" fontId="0" fillId="5" borderId="0" xfId="0" applyFill="1"/>
    <xf numFmtId="0" fontId="7" fillId="0" borderId="0" xfId="0" applyFont="1" applyAlignment="1">
      <alignment wrapText="1"/>
    </xf>
    <xf numFmtId="0" fontId="0" fillId="0" borderId="0" xfId="0" applyAlignment="1"/>
    <xf numFmtId="0" fontId="8" fillId="0" borderId="0" xfId="0" applyFont="1" applyAlignment="1">
      <alignment wrapText="1"/>
    </xf>
    <xf numFmtId="0" fontId="0" fillId="0" borderId="0" xfId="0" applyAlignment="1">
      <alignment wrapText="1"/>
    </xf>
    <xf numFmtId="0" fontId="0" fillId="5" borderId="0" xfId="0" applyFill="1" applyAlignment="1">
      <alignment wrapText="1"/>
    </xf>
    <xf numFmtId="0" fontId="9" fillId="2" borderId="0" xfId="0" applyFont="1" applyFill="1"/>
    <xf numFmtId="0" fontId="10" fillId="2" borderId="0" xfId="0" applyFont="1" applyFill="1"/>
    <xf numFmtId="0" fontId="5" fillId="0" borderId="5" xfId="0" applyFont="1" applyBorder="1"/>
    <xf numFmtId="0" fontId="4" fillId="0" borderId="6" xfId="0" applyFont="1" applyBorder="1"/>
    <xf numFmtId="0" fontId="4" fillId="4" borderId="0" xfId="0" applyFont="1" applyFill="1" applyAlignment="1">
      <alignment horizontal="center"/>
    </xf>
    <xf numFmtId="0" fontId="11" fillId="0" borderId="0" xfId="0" applyFont="1"/>
    <xf numFmtId="0" fontId="12" fillId="0" borderId="4" xfId="0" applyFont="1" applyBorder="1"/>
    <xf numFmtId="0" fontId="11" fillId="4" borderId="0" xfId="0" applyFont="1" applyFill="1"/>
    <xf numFmtId="0" fontId="12" fillId="4" borderId="0" xfId="0" applyFont="1" applyFill="1"/>
    <xf numFmtId="0" fontId="12" fillId="0" borderId="0" xfId="0" applyFont="1"/>
    <xf numFmtId="0" fontId="11" fillId="0" borderId="4" xfId="0" applyFont="1" applyBorder="1"/>
    <xf numFmtId="0" fontId="12" fillId="5" borderId="0" xfId="0" applyFont="1" applyFill="1"/>
    <xf numFmtId="0" fontId="11" fillId="5" borderId="0" xfId="0" applyFont="1" applyFill="1"/>
    <xf numFmtId="0" fontId="0" fillId="0" borderId="4" xfId="0" applyBorder="1"/>
    <xf numFmtId="0" fontId="0" fillId="6" borderId="0" xfId="0" applyFill="1"/>
    <xf numFmtId="178" fontId="0" fillId="6" borderId="0" xfId="0" applyNumberFormat="1" applyFill="1"/>
    <xf numFmtId="0" fontId="3" fillId="5" borderId="0" xfId="0" applyFont="1" applyFill="1"/>
    <xf numFmtId="0" fontId="3" fillId="0" borderId="5" xfId="0" applyFont="1"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3" fillId="7" borderId="0" xfId="0" applyFont="1" applyFill="1"/>
    <xf numFmtId="0" fontId="3" fillId="3" borderId="0" xfId="0" applyFont="1" applyFill="1"/>
    <xf numFmtId="0" fontId="9" fillId="2" borderId="0" xfId="0" applyFont="1" applyFill="1" applyAlignment="1"/>
    <xf numFmtId="0" fontId="11" fillId="8" borderId="0" xfId="0" applyFont="1" applyFill="1"/>
    <xf numFmtId="0" fontId="11" fillId="9" borderId="0" xfId="0" applyFont="1" applyFill="1"/>
    <xf numFmtId="0" fontId="11" fillId="10" borderId="0" xfId="0" applyFont="1" applyFill="1"/>
    <xf numFmtId="0" fontId="13" fillId="2" borderId="0" xfId="0" applyFont="1" applyFill="1"/>
    <xf numFmtId="0" fontId="14" fillId="0" borderId="0" xfId="0" applyFont="1" applyFill="1"/>
    <xf numFmtId="0" fontId="14" fillId="0" borderId="4" xfId="0" applyFont="1" applyFill="1" applyBorder="1"/>
    <xf numFmtId="0" fontId="15" fillId="0" borderId="0" xfId="0" applyFont="1" applyFill="1"/>
    <xf numFmtId="0" fontId="15" fillId="5" borderId="0" xfId="0" applyFont="1" applyFill="1"/>
    <xf numFmtId="0" fontId="15" fillId="0" borderId="4" xfId="0" applyFont="1" applyFill="1" applyBorder="1"/>
    <xf numFmtId="0" fontId="14" fillId="5"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8"/>
  <sheetViews>
    <sheetView tabSelected="1" workbookViewId="0">
      <selection activeCell="G6" sqref="G6"/>
    </sheetView>
  </sheetViews>
  <sheetFormatPr defaultColWidth="9" defaultRowHeight="14.5"/>
  <cols>
    <col min="1" max="1" width="13.2818181818182" customWidth="1"/>
    <col min="2" max="2" width="29.7090909090909" customWidth="1"/>
    <col min="3" max="3" width="19.8545454545455" customWidth="1"/>
    <col min="5" max="5" width="18.5727272727273" customWidth="1"/>
  </cols>
  <sheetData>
    <row r="1" ht="21" spans="1:9">
      <c r="A1" s="35" t="s">
        <v>0</v>
      </c>
      <c r="B1" s="35" t="s">
        <v>1</v>
      </c>
      <c r="C1" s="61"/>
      <c r="D1" s="61"/>
      <c r="E1" s="61"/>
      <c r="F1" s="14"/>
      <c r="G1" s="14"/>
      <c r="H1" s="14"/>
      <c r="I1" s="14"/>
    </row>
    <row r="2" spans="1:9">
      <c r="A2" s="61"/>
      <c r="B2" s="61" t="s">
        <v>2</v>
      </c>
      <c r="C2" s="61"/>
      <c r="D2" s="61"/>
      <c r="E2" s="61"/>
      <c r="F2" s="14"/>
      <c r="G2" s="14"/>
      <c r="H2" s="14"/>
      <c r="I2" s="14"/>
    </row>
    <row r="3" spans="1:9">
      <c r="A3" s="61"/>
      <c r="B3" s="61" t="s">
        <v>3</v>
      </c>
      <c r="C3" s="61"/>
      <c r="D3" s="61"/>
      <c r="E3" s="61"/>
      <c r="F3" s="14"/>
      <c r="G3" s="14"/>
      <c r="H3" s="14"/>
      <c r="I3" s="14"/>
    </row>
    <row r="5" ht="15.5" spans="1:12">
      <c r="A5" s="62" t="s">
        <v>4</v>
      </c>
      <c r="B5" s="63" t="s">
        <v>5</v>
      </c>
      <c r="C5" s="63" t="s">
        <v>6</v>
      </c>
      <c r="D5" s="64"/>
      <c r="E5" s="64"/>
      <c r="F5" s="64"/>
      <c r="G5" s="64"/>
      <c r="H5" s="65"/>
      <c r="I5" s="65"/>
      <c r="J5" s="65"/>
      <c r="K5" s="65"/>
      <c r="L5" s="65"/>
    </row>
    <row r="6" ht="15.5" spans="1:12">
      <c r="A6" s="64"/>
      <c r="B6" s="66">
        <v>1</v>
      </c>
      <c r="C6" s="66">
        <v>10</v>
      </c>
      <c r="D6" s="64"/>
      <c r="E6" s="62" t="s">
        <v>7</v>
      </c>
      <c r="F6" s="62"/>
      <c r="G6" s="64"/>
      <c r="H6" s="67" t="s">
        <v>8</v>
      </c>
      <c r="I6" s="67"/>
      <c r="J6" s="67"/>
      <c r="K6" s="67"/>
      <c r="L6" s="67"/>
    </row>
    <row r="7" ht="15.5" spans="1:12">
      <c r="A7" s="64"/>
      <c r="B7" s="66">
        <v>3</v>
      </c>
      <c r="C7" s="66">
        <v>11</v>
      </c>
      <c r="D7" s="64"/>
      <c r="E7" s="62" t="s">
        <v>9</v>
      </c>
      <c r="F7" s="62">
        <v>12</v>
      </c>
      <c r="G7" s="64"/>
      <c r="H7" s="67" t="s">
        <v>10</v>
      </c>
      <c r="I7" s="67"/>
      <c r="J7" s="67"/>
      <c r="K7" s="67"/>
      <c r="L7" s="67"/>
    </row>
    <row r="8" ht="15.5" spans="1:12">
      <c r="A8" s="64"/>
      <c r="B8" s="66">
        <v>2</v>
      </c>
      <c r="C8" s="66">
        <v>12</v>
      </c>
      <c r="D8" s="64"/>
      <c r="E8" s="62" t="s">
        <v>11</v>
      </c>
      <c r="F8" s="62">
        <f>MEDIAN(C6:C11)</f>
        <v>12</v>
      </c>
      <c r="G8" s="64"/>
      <c r="H8" s="67" t="s">
        <v>12</v>
      </c>
      <c r="I8" s="67"/>
      <c r="J8" s="67"/>
      <c r="K8" s="67"/>
      <c r="L8" s="67"/>
    </row>
    <row r="9" ht="15.5" spans="1:12">
      <c r="A9" s="64"/>
      <c r="B9" s="66">
        <v>6</v>
      </c>
      <c r="C9" s="66">
        <v>12</v>
      </c>
      <c r="D9" s="64"/>
      <c r="E9" s="62" t="s">
        <v>13</v>
      </c>
      <c r="F9" s="62">
        <f>AVERAGE(C6:C11)</f>
        <v>12.3333333333333</v>
      </c>
      <c r="G9" s="64"/>
      <c r="H9" s="67" t="s">
        <v>14</v>
      </c>
      <c r="I9" s="67"/>
      <c r="J9" s="67"/>
      <c r="K9" s="67"/>
      <c r="L9" s="67"/>
    </row>
    <row r="10" ht="15.5" spans="1:12">
      <c r="A10" s="64"/>
      <c r="B10" s="66">
        <v>5</v>
      </c>
      <c r="C10" s="66">
        <v>14</v>
      </c>
      <c r="D10" s="64"/>
      <c r="E10" s="62"/>
      <c r="F10" s="62"/>
      <c r="G10" s="64"/>
      <c r="H10" s="64"/>
      <c r="I10" s="64"/>
      <c r="J10" s="64"/>
      <c r="K10" s="64"/>
      <c r="L10" s="64"/>
    </row>
    <row r="11" ht="15.5" spans="1:12">
      <c r="A11" s="64"/>
      <c r="B11" s="66">
        <v>4</v>
      </c>
      <c r="C11" s="66">
        <v>15</v>
      </c>
      <c r="D11" s="64"/>
      <c r="E11" s="64"/>
      <c r="F11" s="64"/>
      <c r="G11" s="64"/>
      <c r="H11" s="64"/>
      <c r="I11" s="64"/>
      <c r="J11" s="64"/>
      <c r="K11" s="64"/>
      <c r="L11" s="64"/>
    </row>
    <row r="28" spans="10:11">
      <c r="J28" s="14"/>
      <c r="K28" s="14"/>
    </row>
    <row r="29" spans="10:11">
      <c r="J29" s="14"/>
      <c r="K29" s="14"/>
    </row>
    <row r="32" spans="8:8">
      <c r="H32" s="14"/>
    </row>
    <row r="33" spans="8:8">
      <c r="H33" s="14"/>
    </row>
    <row r="34" spans="8:8">
      <c r="H34" s="14"/>
    </row>
    <row r="35" spans="8:8">
      <c r="H35" s="14"/>
    </row>
    <row r="36" spans="8:8">
      <c r="H36" s="14"/>
    </row>
    <row r="53" spans="8:8">
      <c r="H53" s="14"/>
    </row>
    <row r="54" spans="8:8">
      <c r="H54" s="14"/>
    </row>
    <row r="55" spans="8:8">
      <c r="H55" s="14"/>
    </row>
    <row r="56" spans="8:8">
      <c r="H56" s="14"/>
    </row>
    <row r="57" spans="8:8">
      <c r="H57" s="14"/>
    </row>
    <row r="99" spans="8:10">
      <c r="H99" s="14"/>
      <c r="I99" s="14"/>
      <c r="J99" s="14"/>
    </row>
    <row r="100" spans="8:10">
      <c r="H100" s="14"/>
      <c r="I100" s="14"/>
      <c r="J100" s="14"/>
    </row>
    <row r="118" spans="1:2">
      <c r="A118" s="14"/>
      <c r="B118" s="14"/>
    </row>
    <row r="120" spans="2:5">
      <c r="B120" s="14"/>
      <c r="C120" s="14"/>
      <c r="D120" s="14"/>
      <c r="E120" s="14"/>
    </row>
    <row r="121" spans="2:5">
      <c r="B121" s="14"/>
      <c r="C121" s="14"/>
      <c r="D121" s="14"/>
      <c r="E121" s="14"/>
    </row>
    <row r="122" spans="2:5">
      <c r="B122" s="14"/>
      <c r="C122" s="14"/>
      <c r="D122" s="14"/>
      <c r="E122" s="14"/>
    </row>
    <row r="123" spans="2:5">
      <c r="B123" s="14"/>
      <c r="C123" s="14"/>
      <c r="D123" s="14"/>
      <c r="E123" s="14"/>
    </row>
    <row r="124" spans="2:5">
      <c r="B124" s="14"/>
      <c r="C124" s="14"/>
      <c r="D124" s="14"/>
      <c r="E124" s="14"/>
    </row>
    <row r="165" spans="8:9">
      <c r="H165" s="14"/>
      <c r="I165" s="14"/>
    </row>
    <row r="166" spans="8:9">
      <c r="H166" s="14"/>
      <c r="I166" s="14"/>
    </row>
    <row r="167" spans="8:9">
      <c r="H167" s="14"/>
      <c r="I167" s="14"/>
    </row>
    <row r="168" spans="8:9">
      <c r="H168" s="14"/>
      <c r="I168" s="14"/>
    </row>
  </sheetData>
  <sortState ref="A6:C11">
    <sortCondition ref="C6:C11"/>
  </sortState>
  <pageMargins left="0.7" right="0.7" top="0.75" bottom="0.75" header="0.3" footer="0.3"/>
  <pageSetup paperSize="256" orientation="portrait" horizontalDpi="203" verticalDpi="2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topLeftCell="A5" workbookViewId="0">
      <selection activeCell="G18" sqref="G18"/>
    </sheetView>
  </sheetViews>
  <sheetFormatPr defaultColWidth="9" defaultRowHeight="14.5"/>
  <cols>
    <col min="5" max="5" width="24.2818181818182" customWidth="1"/>
    <col min="8" max="8" width="14.8545454545455" customWidth="1"/>
  </cols>
  <sheetData>
    <row r="1" ht="21" spans="1:13">
      <c r="A1" s="57" t="s">
        <v>15</v>
      </c>
      <c r="B1" s="57" t="s">
        <v>16</v>
      </c>
      <c r="C1" s="57"/>
      <c r="D1" s="57"/>
      <c r="E1" s="35"/>
      <c r="F1" s="35"/>
      <c r="G1" s="35"/>
      <c r="H1" s="35"/>
      <c r="I1" s="35"/>
      <c r="J1" s="4"/>
      <c r="K1" s="4"/>
      <c r="L1" s="4"/>
      <c r="M1" s="4"/>
    </row>
    <row r="2" ht="21" spans="1:13">
      <c r="A2" s="35"/>
      <c r="B2" s="35" t="s">
        <v>17</v>
      </c>
      <c r="C2" s="35"/>
      <c r="D2" s="35"/>
      <c r="E2" s="35"/>
      <c r="F2" s="35"/>
      <c r="G2" s="35"/>
      <c r="H2" s="35"/>
      <c r="I2" s="35"/>
      <c r="J2" s="4"/>
      <c r="K2" s="4"/>
      <c r="L2" s="4"/>
      <c r="M2" s="4"/>
    </row>
    <row r="3" ht="21" spans="1:13">
      <c r="A3" s="35"/>
      <c r="B3" s="35" t="s">
        <v>18</v>
      </c>
      <c r="C3" s="35"/>
      <c r="D3" s="35"/>
      <c r="E3" s="35"/>
      <c r="F3" s="35"/>
      <c r="G3" s="35"/>
      <c r="H3" s="35"/>
      <c r="I3" s="35"/>
      <c r="J3" s="4"/>
      <c r="K3" s="4"/>
      <c r="L3" s="4"/>
      <c r="M3" s="4"/>
    </row>
    <row r="5" ht="18.5" spans="1:12">
      <c r="A5" s="40"/>
      <c r="B5" s="40"/>
      <c r="C5" s="40"/>
      <c r="D5" s="40"/>
      <c r="E5" s="40"/>
      <c r="F5" s="40"/>
      <c r="G5" s="40"/>
      <c r="H5" s="40"/>
      <c r="I5" s="40"/>
      <c r="J5" s="40"/>
      <c r="K5" s="40"/>
      <c r="L5" s="40"/>
    </row>
    <row r="6" ht="18.5" spans="1:12">
      <c r="A6" s="40"/>
      <c r="B6" s="41" t="s">
        <v>19</v>
      </c>
      <c r="C6" s="41" t="s">
        <v>20</v>
      </c>
      <c r="D6" s="40"/>
      <c r="E6" s="58" t="s">
        <v>21</v>
      </c>
      <c r="F6" s="58" t="s">
        <v>22</v>
      </c>
      <c r="G6" s="58"/>
      <c r="H6" s="58"/>
      <c r="I6" s="58">
        <f>SUM(C7:C13)</f>
        <v>114</v>
      </c>
      <c r="J6" s="40"/>
      <c r="K6" s="40"/>
      <c r="L6" s="40"/>
    </row>
    <row r="7" ht="18.5" spans="1:12">
      <c r="A7" s="40"/>
      <c r="B7" s="45">
        <v>1</v>
      </c>
      <c r="C7" s="45">
        <v>12</v>
      </c>
      <c r="D7" s="40"/>
      <c r="E7" s="40"/>
      <c r="F7" s="40"/>
      <c r="G7" s="40"/>
      <c r="H7" s="40"/>
      <c r="I7" s="40"/>
      <c r="J7" s="40"/>
      <c r="K7" s="40"/>
      <c r="L7" s="40"/>
    </row>
    <row r="8" ht="18.5" spans="1:12">
      <c r="A8" s="40"/>
      <c r="B8" s="45">
        <v>2</v>
      </c>
      <c r="C8" s="45">
        <v>15</v>
      </c>
      <c r="D8" s="40"/>
      <c r="E8" s="47" t="s">
        <v>23</v>
      </c>
      <c r="F8" s="47">
        <v>7</v>
      </c>
      <c r="G8" s="40"/>
      <c r="H8" s="40"/>
      <c r="I8" s="40"/>
      <c r="J8" s="40"/>
      <c r="K8" s="40"/>
      <c r="L8" s="40"/>
    </row>
    <row r="9" ht="18.5" spans="1:12">
      <c r="A9" s="40"/>
      <c r="B9" s="45">
        <v>3</v>
      </c>
      <c r="C9" s="45">
        <v>14</v>
      </c>
      <c r="D9" s="40"/>
      <c r="E9" s="40"/>
      <c r="F9" s="40"/>
      <c r="G9" s="40"/>
      <c r="H9" s="40"/>
      <c r="I9" s="40"/>
      <c r="J9" s="40"/>
      <c r="K9" s="40"/>
      <c r="L9" s="40"/>
    </row>
    <row r="10" ht="18.5" spans="1:12">
      <c r="A10" s="40"/>
      <c r="B10" s="45">
        <v>4</v>
      </c>
      <c r="C10" s="45">
        <v>16</v>
      </c>
      <c r="D10" s="40"/>
      <c r="E10" s="59" t="s">
        <v>24</v>
      </c>
      <c r="F10" s="60">
        <f>AVERAGE(C7:C13)</f>
        <v>16.2857142857143</v>
      </c>
      <c r="G10" s="40"/>
      <c r="H10" s="40"/>
      <c r="I10" s="40"/>
      <c r="J10" s="40"/>
      <c r="K10" s="40"/>
      <c r="L10" s="40"/>
    </row>
    <row r="11" ht="18.5" spans="1:12">
      <c r="A11" s="40"/>
      <c r="B11" s="45">
        <v>5</v>
      </c>
      <c r="C11" s="45">
        <v>18</v>
      </c>
      <c r="D11" s="40"/>
      <c r="E11" s="40"/>
      <c r="F11" s="40"/>
      <c r="G11" s="40"/>
      <c r="H11" s="40"/>
      <c r="I11" s="40"/>
      <c r="J11" s="40"/>
      <c r="K11" s="40"/>
      <c r="L11" s="40"/>
    </row>
    <row r="12" ht="18.5" spans="1:12">
      <c r="A12" s="40"/>
      <c r="B12" s="45">
        <v>6</v>
      </c>
      <c r="C12" s="45">
        <v>20</v>
      </c>
      <c r="D12" s="40"/>
      <c r="E12" s="40"/>
      <c r="F12" s="40"/>
      <c r="G12" s="40"/>
      <c r="H12" s="40"/>
      <c r="I12" s="40"/>
      <c r="J12" s="40"/>
      <c r="K12" s="40"/>
      <c r="L12" s="40"/>
    </row>
    <row r="13" ht="18.5" spans="1:12">
      <c r="A13" s="40"/>
      <c r="B13" s="45">
        <v>7</v>
      </c>
      <c r="C13" s="45">
        <v>19</v>
      </c>
      <c r="D13" s="40"/>
      <c r="E13" s="40"/>
      <c r="F13" s="40"/>
      <c r="G13" s="40"/>
      <c r="H13" s="40"/>
      <c r="I13" s="40"/>
      <c r="J13" s="40"/>
      <c r="K13" s="40"/>
      <c r="L13" s="40"/>
    </row>
    <row r="14" ht="18.5" spans="1:12">
      <c r="A14" s="40"/>
      <c r="B14" s="40"/>
      <c r="C14" s="40"/>
      <c r="D14" s="40"/>
      <c r="E14" s="40"/>
      <c r="F14" s="40"/>
      <c r="G14" s="40"/>
      <c r="H14" s="40"/>
      <c r="I14" s="40"/>
      <c r="J14" s="40"/>
      <c r="K14" s="40"/>
      <c r="L14" s="40"/>
    </row>
    <row r="15" ht="18.5" spans="1:12">
      <c r="A15" s="40"/>
      <c r="B15" s="44" t="s">
        <v>25</v>
      </c>
      <c r="C15" s="44"/>
      <c r="D15" s="44"/>
      <c r="E15" s="44"/>
      <c r="F15" s="44"/>
      <c r="G15" s="44"/>
      <c r="H15" s="44"/>
      <c r="I15" s="44"/>
      <c r="J15" s="40"/>
      <c r="K15" s="40"/>
      <c r="L15" s="40"/>
    </row>
    <row r="16" ht="18.5" spans="1:12">
      <c r="A16" s="40"/>
      <c r="B16" s="44" t="s">
        <v>26</v>
      </c>
      <c r="C16" s="44"/>
      <c r="D16" s="44"/>
      <c r="E16" s="44"/>
      <c r="F16" s="44"/>
      <c r="G16" s="44"/>
      <c r="H16" s="44"/>
      <c r="I16" s="44"/>
      <c r="J16" s="40"/>
      <c r="K16" s="40"/>
      <c r="L16" s="40"/>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workbookViewId="0">
      <selection activeCell="M22" sqref="M22"/>
    </sheetView>
  </sheetViews>
  <sheetFormatPr defaultColWidth="9" defaultRowHeight="14.5"/>
  <cols>
    <col min="2" max="2" width="11.5727272727273" customWidth="1"/>
  </cols>
  <sheetData>
    <row r="1" ht="21" spans="1:11">
      <c r="A1" s="1" t="s">
        <v>27</v>
      </c>
      <c r="B1" s="1" t="s">
        <v>28</v>
      </c>
      <c r="C1" s="1"/>
      <c r="D1" s="1"/>
      <c r="E1" s="1"/>
      <c r="F1" s="1"/>
      <c r="G1" s="1"/>
      <c r="H1" s="2"/>
      <c r="I1" s="4"/>
      <c r="J1" s="4"/>
      <c r="K1" s="4"/>
    </row>
    <row r="2" ht="21" spans="1:11">
      <c r="A2" s="1"/>
      <c r="B2" s="1" t="s">
        <v>29</v>
      </c>
      <c r="C2" s="1"/>
      <c r="D2" s="1"/>
      <c r="E2" s="1"/>
      <c r="F2" s="1"/>
      <c r="G2" s="1"/>
      <c r="H2" s="2"/>
      <c r="I2" s="4"/>
      <c r="J2" s="4"/>
      <c r="K2" s="4"/>
    </row>
    <row r="3" ht="21" spans="1:11">
      <c r="A3" s="1"/>
      <c r="B3" s="1" t="s">
        <v>30</v>
      </c>
      <c r="C3" s="1"/>
      <c r="D3" s="1"/>
      <c r="E3" s="1"/>
      <c r="F3" s="1"/>
      <c r="G3" s="1"/>
      <c r="H3" s="2"/>
      <c r="I3" s="4"/>
      <c r="J3" s="4"/>
      <c r="K3" s="4"/>
    </row>
    <row r="4" spans="1:7">
      <c r="A4" s="14"/>
      <c r="B4" s="14"/>
      <c r="C4" s="14"/>
      <c r="D4" s="14"/>
      <c r="E4" s="14"/>
      <c r="F4" s="14"/>
      <c r="G4" s="14"/>
    </row>
    <row r="6" spans="1:3">
      <c r="A6" s="14" t="s">
        <v>31</v>
      </c>
      <c r="B6" s="52" t="s">
        <v>32</v>
      </c>
      <c r="C6" s="10" t="s">
        <v>33</v>
      </c>
    </row>
    <row r="7" spans="2:6">
      <c r="B7" s="53"/>
      <c r="C7" s="48">
        <v>7</v>
      </c>
      <c r="E7" s="8" t="s">
        <v>34</v>
      </c>
      <c r="F7" s="8">
        <f>MODE(C7:C14)</f>
        <v>8</v>
      </c>
    </row>
    <row r="8" spans="2:3">
      <c r="B8" s="53"/>
      <c r="C8" s="48">
        <v>8</v>
      </c>
    </row>
    <row r="9" spans="2:3">
      <c r="B9" s="53"/>
      <c r="C9" s="48">
        <v>9</v>
      </c>
    </row>
    <row r="10" spans="2:3">
      <c r="B10" s="53"/>
      <c r="C10" s="48">
        <v>8</v>
      </c>
    </row>
    <row r="11" spans="2:3">
      <c r="B11" s="53"/>
      <c r="C11" s="48">
        <v>8</v>
      </c>
    </row>
    <row r="12" spans="2:3">
      <c r="B12" s="53"/>
      <c r="C12" s="48">
        <v>10</v>
      </c>
    </row>
    <row r="13" spans="2:3">
      <c r="B13" s="53"/>
      <c r="C13" s="48">
        <v>7</v>
      </c>
    </row>
    <row r="14" spans="2:3">
      <c r="B14" s="54"/>
      <c r="C14" s="48">
        <v>9</v>
      </c>
    </row>
    <row r="16" spans="2:9">
      <c r="B16" s="55" t="s">
        <v>35</v>
      </c>
      <c r="C16" s="56" t="s">
        <v>36</v>
      </c>
      <c r="D16" s="56"/>
      <c r="E16" s="56"/>
      <c r="F16" s="56"/>
      <c r="G16" s="8"/>
      <c r="H16" s="8"/>
      <c r="I16" s="8"/>
    </row>
    <row r="17" spans="3:9">
      <c r="C17" s="56" t="s">
        <v>37</v>
      </c>
      <c r="D17" s="56"/>
      <c r="E17" s="56"/>
      <c r="F17" s="56"/>
      <c r="G17" s="8"/>
      <c r="H17" s="8"/>
      <c r="I17" s="8"/>
    </row>
    <row r="18" spans="3:9">
      <c r="C18" s="56" t="s">
        <v>38</v>
      </c>
      <c r="D18" s="56"/>
      <c r="E18" s="56"/>
      <c r="F18" s="56"/>
      <c r="G18" s="8"/>
      <c r="H18" s="8"/>
      <c r="I18" s="8"/>
    </row>
  </sheetData>
  <mergeCells count="1">
    <mergeCell ref="B6:B1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workbookViewId="0">
      <selection activeCell="F7" sqref="F7"/>
    </sheetView>
  </sheetViews>
  <sheetFormatPr defaultColWidth="9" defaultRowHeight="14.5"/>
  <cols>
    <col min="3" max="3" width="12.8545454545455" customWidth="1"/>
  </cols>
  <sheetData>
    <row r="1" ht="21" spans="1:15">
      <c r="A1" s="1" t="s">
        <v>39</v>
      </c>
      <c r="B1" s="1" t="s">
        <v>40</v>
      </c>
      <c r="C1" s="1"/>
      <c r="D1" s="1"/>
      <c r="E1" s="1"/>
      <c r="F1" s="1"/>
      <c r="G1" s="1"/>
      <c r="H1" s="2"/>
      <c r="I1" s="2"/>
      <c r="J1" s="2"/>
      <c r="K1" s="4"/>
      <c r="L1" s="4"/>
      <c r="M1" s="4"/>
      <c r="N1" s="4"/>
      <c r="O1" s="4"/>
    </row>
    <row r="2" ht="21" spans="1:15">
      <c r="A2" s="1"/>
      <c r="B2" s="1" t="s">
        <v>41</v>
      </c>
      <c r="C2" s="1"/>
      <c r="D2" s="1" t="s">
        <v>42</v>
      </c>
      <c r="E2" s="1"/>
      <c r="F2" s="1"/>
      <c r="G2" s="1"/>
      <c r="H2" s="2"/>
      <c r="I2" s="2"/>
      <c r="J2" s="2"/>
      <c r="K2" s="4"/>
      <c r="L2" s="4"/>
      <c r="M2" s="4"/>
      <c r="N2" s="4"/>
      <c r="O2" s="4"/>
    </row>
    <row r="3" ht="21" spans="1:15">
      <c r="A3" s="1"/>
      <c r="B3" s="1" t="s">
        <v>43</v>
      </c>
      <c r="C3" s="1"/>
      <c r="D3" s="1"/>
      <c r="E3" s="1"/>
      <c r="F3" s="1"/>
      <c r="G3" s="1"/>
      <c r="H3" s="2"/>
      <c r="I3" s="2"/>
      <c r="J3" s="2"/>
      <c r="K3" s="4"/>
      <c r="L3" s="4"/>
      <c r="M3" s="4"/>
      <c r="N3" s="4"/>
      <c r="O3" s="4"/>
    </row>
    <row r="4" spans="1:7">
      <c r="A4" s="14"/>
      <c r="B4" s="14"/>
      <c r="C4" s="14"/>
      <c r="D4" s="14"/>
      <c r="E4" s="14"/>
      <c r="F4" s="14"/>
      <c r="G4" s="14"/>
    </row>
    <row r="6" spans="1:2">
      <c r="A6" s="10" t="s">
        <v>44</v>
      </c>
      <c r="B6" s="10" t="s">
        <v>45</v>
      </c>
    </row>
    <row r="7" spans="1:3">
      <c r="A7" s="48">
        <v>1</v>
      </c>
      <c r="B7" s="48">
        <v>8000</v>
      </c>
      <c r="C7" s="49" t="s">
        <v>46</v>
      </c>
    </row>
    <row r="8" spans="1:2">
      <c r="A8" s="48">
        <v>2</v>
      </c>
      <c r="B8" s="48">
        <v>9500</v>
      </c>
    </row>
    <row r="9" spans="1:3">
      <c r="A9" s="48">
        <v>3</v>
      </c>
      <c r="B9" s="48">
        <v>10200</v>
      </c>
      <c r="C9" s="50">
        <f>MEDIAN(B7:B11)</f>
        <v>10200</v>
      </c>
    </row>
    <row r="10" spans="1:2">
      <c r="A10" s="48">
        <v>4</v>
      </c>
      <c r="B10" s="48">
        <v>11000</v>
      </c>
    </row>
    <row r="11" spans="1:2">
      <c r="A11" s="48">
        <v>5</v>
      </c>
      <c r="B11" s="48">
        <v>50000</v>
      </c>
    </row>
    <row r="14" spans="2:9">
      <c r="B14" s="51" t="s">
        <v>47</v>
      </c>
      <c r="C14" s="51"/>
      <c r="D14" s="51"/>
      <c r="E14" s="51"/>
      <c r="F14" s="51"/>
      <c r="G14" s="51"/>
      <c r="H14" s="29"/>
      <c r="I14" s="29"/>
    </row>
    <row r="15" spans="2:9">
      <c r="B15" s="51" t="s">
        <v>48</v>
      </c>
      <c r="C15" s="51"/>
      <c r="D15" s="51"/>
      <c r="E15" s="51"/>
      <c r="F15" s="51"/>
      <c r="G15" s="51"/>
      <c r="H15" s="29"/>
      <c r="I15" s="29"/>
    </row>
    <row r="16" spans="2:9">
      <c r="B16" s="51" t="s">
        <v>49</v>
      </c>
      <c r="C16" s="51"/>
      <c r="D16" s="51"/>
      <c r="E16" s="51"/>
      <c r="F16" s="51"/>
      <c r="G16" s="51"/>
      <c r="H16" s="29"/>
      <c r="I16" s="29"/>
    </row>
    <row r="17" spans="2:9">
      <c r="B17" s="29"/>
      <c r="C17" s="29"/>
      <c r="D17" s="29"/>
      <c r="E17" s="29"/>
      <c r="F17" s="29"/>
      <c r="G17" s="29"/>
      <c r="H17" s="29"/>
      <c r="I17" s="29"/>
    </row>
    <row r="18" spans="2:9">
      <c r="B18" s="29"/>
      <c r="C18" s="29"/>
      <c r="D18" s="29"/>
      <c r="E18" s="29"/>
      <c r="F18" s="29"/>
      <c r="G18" s="29"/>
      <c r="H18" s="29"/>
      <c r="I18" s="29"/>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
  <sheetViews>
    <sheetView workbookViewId="0">
      <selection activeCell="L19" sqref="L19"/>
    </sheetView>
  </sheetViews>
  <sheetFormatPr defaultColWidth="9" defaultRowHeight="14.5"/>
  <cols>
    <col min="1" max="1" width="10.5727272727273" customWidth="1"/>
    <col min="3" max="3" width="15.7090909090909" customWidth="1"/>
    <col min="4" max="4" width="10.4272727272727" customWidth="1"/>
  </cols>
  <sheetData>
    <row r="1" ht="21" spans="1:13">
      <c r="A1" s="1" t="s">
        <v>50</v>
      </c>
      <c r="B1" s="1" t="s">
        <v>51</v>
      </c>
      <c r="C1" s="2"/>
      <c r="D1" s="2"/>
      <c r="E1" s="2"/>
      <c r="F1" s="2"/>
      <c r="G1" s="2"/>
      <c r="H1" s="2"/>
      <c r="I1" s="2"/>
      <c r="J1" s="4"/>
      <c r="K1" s="4"/>
      <c r="L1" s="4"/>
      <c r="M1" s="4"/>
    </row>
    <row r="2" ht="21" spans="1:13">
      <c r="A2" s="2"/>
      <c r="B2" s="1" t="s">
        <v>52</v>
      </c>
      <c r="C2" s="1"/>
      <c r="D2" s="1"/>
      <c r="E2" s="1"/>
      <c r="F2" s="1"/>
      <c r="G2" s="1"/>
      <c r="H2" s="2"/>
      <c r="I2" s="2"/>
      <c r="J2" s="4"/>
      <c r="K2" s="4"/>
      <c r="L2" s="4"/>
      <c r="M2" s="4"/>
    </row>
    <row r="3" ht="21" spans="1:13">
      <c r="A3" s="2"/>
      <c r="B3" s="1" t="s">
        <v>53</v>
      </c>
      <c r="C3" s="1"/>
      <c r="D3" s="1"/>
      <c r="E3" s="1"/>
      <c r="F3" s="1"/>
      <c r="G3" s="1"/>
      <c r="H3" s="2"/>
      <c r="I3" s="2"/>
      <c r="J3" s="4"/>
      <c r="K3" s="4"/>
      <c r="L3" s="4"/>
      <c r="M3" s="4"/>
    </row>
    <row r="6" ht="18.5" spans="1:10">
      <c r="A6" s="40"/>
      <c r="B6" s="41" t="s">
        <v>54</v>
      </c>
      <c r="C6" s="41" t="s">
        <v>55</v>
      </c>
      <c r="D6" s="40"/>
      <c r="E6" s="42" t="s">
        <v>56</v>
      </c>
      <c r="F6" s="42"/>
      <c r="G6" s="43" t="s">
        <v>57</v>
      </c>
      <c r="H6" s="40"/>
      <c r="I6" s="40"/>
      <c r="J6" s="40"/>
    </row>
    <row r="7" ht="18.5" spans="1:10">
      <c r="A7" s="44" t="s">
        <v>31</v>
      </c>
      <c r="B7" s="45">
        <v>1</v>
      </c>
      <c r="C7" s="45">
        <v>25</v>
      </c>
      <c r="D7" s="40"/>
      <c r="E7" s="44">
        <f>MAX(C7:C10)</f>
        <v>40</v>
      </c>
      <c r="F7" s="40"/>
      <c r="G7" s="44">
        <f>C10-C7</f>
        <v>15</v>
      </c>
      <c r="H7" s="40"/>
      <c r="I7" s="40"/>
      <c r="J7" s="40"/>
    </row>
    <row r="8" ht="18.5" spans="1:10">
      <c r="A8" s="40"/>
      <c r="B8" s="45">
        <v>2</v>
      </c>
      <c r="C8" s="45">
        <v>30</v>
      </c>
      <c r="D8" s="40"/>
      <c r="E8" s="42" t="s">
        <v>58</v>
      </c>
      <c r="F8" s="42"/>
      <c r="G8" s="40"/>
      <c r="H8" s="40"/>
      <c r="I8" s="40"/>
      <c r="J8" s="40"/>
    </row>
    <row r="9" ht="18.5" spans="1:10">
      <c r="A9" s="40"/>
      <c r="B9" s="45">
        <v>3</v>
      </c>
      <c r="C9" s="45">
        <v>27</v>
      </c>
      <c r="D9" s="40"/>
      <c r="E9" s="44">
        <f>MIN(C7:C10)</f>
        <v>25</v>
      </c>
      <c r="F9" s="40"/>
      <c r="G9" s="40"/>
      <c r="H9" s="40"/>
      <c r="I9" s="40"/>
      <c r="J9" s="40"/>
    </row>
    <row r="10" ht="18.5" spans="1:10">
      <c r="A10" s="40"/>
      <c r="B10" s="45">
        <v>4</v>
      </c>
      <c r="C10" s="45">
        <v>40</v>
      </c>
      <c r="D10" s="40"/>
      <c r="E10" s="40"/>
      <c r="F10" s="40"/>
      <c r="G10" s="40"/>
      <c r="H10" s="40"/>
      <c r="I10" s="40"/>
      <c r="J10" s="40"/>
    </row>
    <row r="11" ht="18.5" spans="1:10">
      <c r="A11" s="40"/>
      <c r="B11" s="40"/>
      <c r="C11" s="40"/>
      <c r="D11" s="40"/>
      <c r="E11" s="40"/>
      <c r="F11" s="40"/>
      <c r="G11" s="40"/>
      <c r="H11" s="40"/>
      <c r="I11" s="40"/>
      <c r="J11" s="40"/>
    </row>
    <row r="12" ht="18.5" spans="1:11">
      <c r="A12" s="40"/>
      <c r="B12" s="46" t="s">
        <v>59</v>
      </c>
      <c r="C12" s="46"/>
      <c r="D12" s="46"/>
      <c r="E12" s="46"/>
      <c r="F12" s="46"/>
      <c r="G12" s="46"/>
      <c r="H12" s="47"/>
      <c r="I12" s="47"/>
      <c r="J12" s="47"/>
      <c r="K12" s="29"/>
    </row>
    <row r="13" ht="18.5" spans="1:11">
      <c r="A13" s="40"/>
      <c r="B13" s="46" t="s">
        <v>60</v>
      </c>
      <c r="C13" s="46"/>
      <c r="D13" s="46"/>
      <c r="E13" s="46"/>
      <c r="F13" s="46"/>
      <c r="G13" s="46"/>
      <c r="H13" s="47"/>
      <c r="I13" s="47"/>
      <c r="J13" s="47"/>
      <c r="K13" s="29"/>
    </row>
    <row r="14" ht="18.5" spans="1:10">
      <c r="A14" s="40"/>
      <c r="B14" s="44"/>
      <c r="C14" s="44"/>
      <c r="D14" s="44"/>
      <c r="E14" s="44"/>
      <c r="F14" s="44"/>
      <c r="G14" s="44"/>
      <c r="H14" s="40"/>
      <c r="I14" s="40"/>
      <c r="J14" s="40"/>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
  <sheetViews>
    <sheetView workbookViewId="0">
      <selection activeCell="P9" sqref="P9"/>
    </sheetView>
  </sheetViews>
  <sheetFormatPr defaultColWidth="9" defaultRowHeight="14.5"/>
  <cols>
    <col min="2" max="2" width="16.1363636363636" customWidth="1"/>
    <col min="3" max="3" width="12.8545454545455" customWidth="1"/>
  </cols>
  <sheetData>
    <row r="1" ht="21" spans="1:13">
      <c r="A1" s="35" t="s">
        <v>61</v>
      </c>
      <c r="B1" s="35" t="s">
        <v>62</v>
      </c>
      <c r="C1" s="36"/>
      <c r="D1" s="36"/>
      <c r="E1" s="36"/>
      <c r="F1" s="36"/>
      <c r="G1" s="36"/>
      <c r="H1" s="36"/>
      <c r="I1" s="36"/>
      <c r="J1" s="4"/>
      <c r="K1" s="4"/>
      <c r="L1" s="4"/>
      <c r="M1" s="4"/>
    </row>
    <row r="2" ht="21" spans="1:13">
      <c r="A2" s="36"/>
      <c r="B2" s="35" t="s">
        <v>63</v>
      </c>
      <c r="C2" s="36"/>
      <c r="D2" s="36"/>
      <c r="E2" s="36"/>
      <c r="F2" s="36"/>
      <c r="G2" s="36"/>
      <c r="H2" s="36"/>
      <c r="I2" s="36"/>
      <c r="J2" s="4"/>
      <c r="K2" s="4"/>
      <c r="L2" s="4"/>
      <c r="M2" s="4"/>
    </row>
    <row r="3" ht="21" spans="1:13">
      <c r="A3" s="36"/>
      <c r="B3" s="35" t="s">
        <v>64</v>
      </c>
      <c r="C3" s="36"/>
      <c r="D3" s="36"/>
      <c r="E3" s="36"/>
      <c r="F3" s="36"/>
      <c r="G3" s="36"/>
      <c r="H3" s="36"/>
      <c r="I3" s="36"/>
      <c r="J3" s="4"/>
      <c r="K3" s="4"/>
      <c r="L3" s="4"/>
      <c r="M3" s="4"/>
    </row>
    <row r="5" ht="18.5" spans="2:5">
      <c r="B5" s="37" t="s">
        <v>65</v>
      </c>
      <c r="C5" s="13"/>
      <c r="D5" s="13"/>
      <c r="E5" s="13"/>
    </row>
    <row r="6" ht="18.5" spans="1:5">
      <c r="A6" s="14" t="s">
        <v>31</v>
      </c>
      <c r="B6" s="38">
        <v>100</v>
      </c>
      <c r="C6" s="13"/>
      <c r="D6" s="13"/>
      <c r="E6" s="13"/>
    </row>
    <row r="7" ht="18.5" spans="2:5">
      <c r="B7" s="38">
        <v>105</v>
      </c>
      <c r="C7" s="39" t="s">
        <v>66</v>
      </c>
      <c r="D7" s="20">
        <f>B10-B8</f>
        <v>22</v>
      </c>
      <c r="E7" s="13"/>
    </row>
    <row r="8" ht="18.5" spans="2:5">
      <c r="B8" s="38">
        <v>98</v>
      </c>
      <c r="C8" s="13"/>
      <c r="D8" s="13"/>
      <c r="E8" s="13"/>
    </row>
    <row r="9" ht="18.5" spans="2:5">
      <c r="B9" s="38">
        <v>110</v>
      </c>
      <c r="C9" s="13"/>
      <c r="D9" s="13"/>
      <c r="E9" s="13"/>
    </row>
    <row r="10" ht="18.5" spans="2:5">
      <c r="B10" s="19">
        <v>120</v>
      </c>
      <c r="C10" s="13"/>
      <c r="D10" s="13"/>
      <c r="E10" s="13"/>
    </row>
    <row r="12" ht="18.5" spans="2:13">
      <c r="B12" s="27" t="s">
        <v>67</v>
      </c>
      <c r="C12" s="27"/>
      <c r="D12" s="27"/>
      <c r="E12" s="27"/>
      <c r="F12" s="27"/>
      <c r="G12" s="27"/>
      <c r="H12" s="27"/>
      <c r="I12" s="27"/>
      <c r="J12" s="27"/>
      <c r="K12" s="29"/>
      <c r="L12" s="29"/>
      <c r="M12" s="29"/>
    </row>
    <row r="13" ht="18.5" spans="2:13">
      <c r="B13" s="27" t="s">
        <v>68</v>
      </c>
      <c r="C13" s="27"/>
      <c r="D13" s="27"/>
      <c r="E13" s="27"/>
      <c r="F13" s="27"/>
      <c r="G13" s="27"/>
      <c r="H13" s="27"/>
      <c r="I13" s="27"/>
      <c r="J13" s="27"/>
      <c r="K13" s="29"/>
      <c r="L13" s="29"/>
      <c r="M13" s="29"/>
    </row>
    <row r="14" ht="18.5" spans="2:13">
      <c r="B14" s="27"/>
      <c r="C14" s="27"/>
      <c r="D14" s="27"/>
      <c r="E14" s="27"/>
      <c r="F14" s="27"/>
      <c r="G14" s="27"/>
      <c r="H14" s="27"/>
      <c r="I14" s="27"/>
      <c r="J14" s="27"/>
      <c r="K14" s="29"/>
      <c r="L14" s="29"/>
      <c r="M14" s="29"/>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K14" sqref="K14"/>
    </sheetView>
  </sheetViews>
  <sheetFormatPr defaultColWidth="9" defaultRowHeight="14.5"/>
  <cols>
    <col min="1" max="1" width="10.8545454545455" customWidth="1"/>
    <col min="2" max="2" width="45.8545454545455" customWidth="1"/>
  </cols>
  <sheetData>
    <row r="1" ht="21" spans="1:9">
      <c r="A1" s="1" t="s">
        <v>69</v>
      </c>
      <c r="B1" s="1" t="s">
        <v>70</v>
      </c>
      <c r="C1" s="1"/>
      <c r="D1" s="2"/>
      <c r="E1" s="2"/>
      <c r="F1" s="2"/>
      <c r="G1" s="2"/>
      <c r="H1" s="2"/>
      <c r="I1" s="2"/>
    </row>
    <row r="2" ht="21" spans="1:9">
      <c r="A2" s="1"/>
      <c r="B2" s="1" t="s">
        <v>71</v>
      </c>
      <c r="C2" s="1"/>
      <c r="D2" s="2"/>
      <c r="E2" s="2"/>
      <c r="F2" s="2"/>
      <c r="G2" s="2"/>
      <c r="H2" s="2"/>
      <c r="I2" s="2"/>
    </row>
    <row r="3" ht="21" spans="1:9">
      <c r="A3" s="1"/>
      <c r="B3" s="1" t="s">
        <v>72</v>
      </c>
      <c r="C3" s="1"/>
      <c r="D3" s="2"/>
      <c r="E3" s="2"/>
      <c r="F3" s="2"/>
      <c r="G3" s="2"/>
      <c r="H3" s="2"/>
      <c r="I3" s="2"/>
    </row>
    <row r="4" ht="21" spans="1:9">
      <c r="A4" s="1"/>
      <c r="B4" s="1" t="s">
        <v>73</v>
      </c>
      <c r="C4" s="1"/>
      <c r="D4" s="2"/>
      <c r="E4" s="2"/>
      <c r="F4" s="2"/>
      <c r="G4" s="2"/>
      <c r="H4" s="2"/>
      <c r="I4" s="2"/>
    </row>
    <row r="5" ht="21" spans="1:9">
      <c r="A5" s="2"/>
      <c r="B5" s="1" t="s">
        <v>74</v>
      </c>
      <c r="C5" s="1"/>
      <c r="D5" s="2"/>
      <c r="E5" s="2"/>
      <c r="F5" s="2"/>
      <c r="G5" s="2"/>
      <c r="H5" s="2"/>
      <c r="I5" s="2"/>
    </row>
    <row r="7" ht="43.5" spans="1:2">
      <c r="A7" t="s">
        <v>75</v>
      </c>
      <c r="B7" s="30" t="s">
        <v>76</v>
      </c>
    </row>
    <row r="8" spans="2:2">
      <c r="B8" s="31" t="s">
        <v>77</v>
      </c>
    </row>
    <row r="9" spans="2:2">
      <c r="B9" s="31" t="s">
        <v>78</v>
      </c>
    </row>
    <row r="10" spans="2:2">
      <c r="B10" s="31"/>
    </row>
    <row r="11" spans="2:2">
      <c r="B11" s="32" t="s">
        <v>79</v>
      </c>
    </row>
    <row r="12" spans="2:2">
      <c r="B12" s="33" t="s">
        <v>80</v>
      </c>
    </row>
    <row r="13" spans="2:2">
      <c r="B13" s="33" t="s">
        <v>81</v>
      </c>
    </row>
    <row r="14" ht="159.5" spans="2:2">
      <c r="B14" s="34" t="s">
        <v>82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workbookViewId="0">
      <selection activeCell="M10" sqref="M10"/>
    </sheetView>
  </sheetViews>
  <sheetFormatPr defaultColWidth="9" defaultRowHeight="14.5"/>
  <cols>
    <col min="2" max="2" width="36.5727272727273" customWidth="1"/>
  </cols>
  <sheetData>
    <row r="1" ht="21" spans="1:12">
      <c r="A1" s="1" t="s">
        <v>83</v>
      </c>
      <c r="B1" s="1" t="s">
        <v>84</v>
      </c>
      <c r="C1" s="2"/>
      <c r="D1" s="2"/>
      <c r="E1" s="2"/>
      <c r="F1" s="2"/>
      <c r="G1" s="2"/>
      <c r="H1" s="2"/>
      <c r="I1" s="2"/>
      <c r="J1" s="4"/>
      <c r="K1" s="4"/>
      <c r="L1" s="4"/>
    </row>
    <row r="2" ht="21" spans="1:12">
      <c r="A2" s="2"/>
      <c r="B2" s="1" t="s">
        <v>85</v>
      </c>
      <c r="C2" s="1"/>
      <c r="D2" s="1"/>
      <c r="E2" s="1"/>
      <c r="F2" s="2"/>
      <c r="G2" s="2"/>
      <c r="H2" s="2"/>
      <c r="I2" s="2"/>
      <c r="J2" s="4"/>
      <c r="K2" s="4"/>
      <c r="L2" s="4"/>
    </row>
    <row r="3" ht="21" spans="1:12">
      <c r="A3" s="2"/>
      <c r="B3" s="1" t="s">
        <v>86</v>
      </c>
      <c r="C3" s="1"/>
      <c r="D3" s="1"/>
      <c r="E3" s="1"/>
      <c r="F3" s="2"/>
      <c r="G3" s="2"/>
      <c r="H3" s="2"/>
      <c r="I3" s="2"/>
      <c r="J3" s="4"/>
      <c r="K3" s="4"/>
      <c r="L3" s="4"/>
    </row>
    <row r="4" ht="21" spans="1:12">
      <c r="A4" s="2"/>
      <c r="B4" s="1" t="s">
        <v>87</v>
      </c>
      <c r="C4" s="1"/>
      <c r="D4" s="1"/>
      <c r="E4" s="1"/>
      <c r="F4" s="2"/>
      <c r="G4" s="2"/>
      <c r="H4" s="2"/>
      <c r="I4" s="2"/>
      <c r="J4" s="4"/>
      <c r="K4" s="4"/>
      <c r="L4" s="4"/>
    </row>
    <row r="5" ht="21" spans="1:12">
      <c r="A5" s="2"/>
      <c r="B5" s="1" t="s">
        <v>88</v>
      </c>
      <c r="C5" s="1"/>
      <c r="D5" s="1"/>
      <c r="E5" s="1"/>
      <c r="F5" s="2"/>
      <c r="G5" s="2"/>
      <c r="H5" s="2"/>
      <c r="I5" s="2"/>
      <c r="J5" s="4"/>
      <c r="K5" s="4"/>
      <c r="L5" s="4"/>
    </row>
    <row r="6" spans="2:5">
      <c r="B6" s="14"/>
      <c r="C6" s="14"/>
      <c r="D6" s="14"/>
      <c r="E6" s="14"/>
    </row>
    <row r="8" ht="18.5" spans="1:8">
      <c r="A8" s="14" t="s">
        <v>31</v>
      </c>
      <c r="B8" s="27" t="s">
        <v>89</v>
      </c>
      <c r="C8" s="27"/>
      <c r="D8" s="27"/>
      <c r="E8" s="13"/>
      <c r="F8" s="13"/>
      <c r="G8" s="13"/>
      <c r="H8" s="13"/>
    </row>
    <row r="9" ht="18.5" spans="2:8">
      <c r="B9" s="13"/>
      <c r="C9" s="13"/>
      <c r="D9" s="13"/>
      <c r="E9" s="13"/>
      <c r="F9" s="13"/>
      <c r="G9" s="13"/>
      <c r="H9" s="13"/>
    </row>
    <row r="10" ht="18.5" spans="2:10">
      <c r="B10" s="28" t="s">
        <v>90</v>
      </c>
      <c r="C10" s="27"/>
      <c r="D10" s="27"/>
      <c r="E10" s="27"/>
      <c r="F10" s="27"/>
      <c r="G10" s="27"/>
      <c r="H10" s="27"/>
      <c r="I10" s="29"/>
      <c r="J10" s="29"/>
    </row>
    <row r="11" ht="18.5" spans="2:8">
      <c r="B11" s="13"/>
      <c r="C11" s="13"/>
      <c r="D11" s="13"/>
      <c r="E11" s="13"/>
      <c r="F11" s="13"/>
      <c r="G11" s="13"/>
      <c r="H11" s="13"/>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workbookViewId="0">
      <selection activeCell="M10" sqref="M10"/>
    </sheetView>
  </sheetViews>
  <sheetFormatPr defaultColWidth="9" defaultRowHeight="14.5"/>
  <cols>
    <col min="5" max="5" width="22.8545454545455" customWidth="1"/>
    <col min="6" max="6" width="17.7090909090909" customWidth="1"/>
  </cols>
  <sheetData>
    <row r="1" ht="21" spans="1:11">
      <c r="A1" s="1" t="s">
        <v>91</v>
      </c>
      <c r="B1" s="1" t="s">
        <v>92</v>
      </c>
      <c r="C1" s="1"/>
      <c r="D1" s="1"/>
      <c r="E1" s="1"/>
      <c r="F1" s="1"/>
      <c r="G1" s="1"/>
      <c r="H1" s="2"/>
      <c r="I1" s="4"/>
      <c r="J1" s="4"/>
      <c r="K1" s="4"/>
    </row>
    <row r="2" ht="21" spans="1:11">
      <c r="A2" s="1"/>
      <c r="B2" s="1" t="s">
        <v>93</v>
      </c>
      <c r="C2" s="1"/>
      <c r="D2" s="1"/>
      <c r="E2" s="1"/>
      <c r="F2" s="1"/>
      <c r="G2" s="1"/>
      <c r="H2" s="2"/>
      <c r="I2" s="4"/>
      <c r="J2" s="4"/>
      <c r="K2" s="4"/>
    </row>
    <row r="3" ht="21" spans="1:11">
      <c r="A3" s="1"/>
      <c r="B3" s="1" t="s">
        <v>94</v>
      </c>
      <c r="C3" s="1"/>
      <c r="D3" s="1"/>
      <c r="E3" s="1"/>
      <c r="F3" s="1" t="s">
        <v>95</v>
      </c>
      <c r="G3" s="1"/>
      <c r="H3" s="2"/>
      <c r="I3" s="4"/>
      <c r="J3" s="4"/>
      <c r="K3" s="4"/>
    </row>
    <row r="4" spans="1:7">
      <c r="A4" s="14"/>
      <c r="B4" s="14"/>
      <c r="C4" s="14"/>
      <c r="D4" s="14"/>
      <c r="E4" s="14"/>
      <c r="F4" s="14"/>
      <c r="G4" s="14"/>
    </row>
    <row r="5" ht="19.25" spans="1:13">
      <c r="A5" s="13"/>
      <c r="B5" s="13"/>
      <c r="C5" s="13"/>
      <c r="D5" s="13"/>
      <c r="E5" s="13"/>
      <c r="F5" s="13"/>
      <c r="G5" s="13"/>
      <c r="H5" s="13"/>
      <c r="I5" s="13"/>
      <c r="J5" s="13"/>
      <c r="K5" s="13"/>
      <c r="L5" s="13"/>
      <c r="M5" s="13"/>
    </row>
    <row r="6" ht="19.25" spans="1:13">
      <c r="A6" s="15" t="s">
        <v>31</v>
      </c>
      <c r="B6" s="16" t="s">
        <v>96</v>
      </c>
      <c r="C6" s="17" t="s">
        <v>97</v>
      </c>
      <c r="D6" s="13"/>
      <c r="E6" s="13"/>
      <c r="F6" s="13"/>
      <c r="G6" s="13"/>
      <c r="H6" s="13"/>
      <c r="I6" s="13"/>
      <c r="J6" s="13"/>
      <c r="K6" s="13"/>
      <c r="L6" s="13"/>
      <c r="M6" s="13"/>
    </row>
    <row r="7" ht="18.5" spans="1:13">
      <c r="A7" s="13"/>
      <c r="B7" s="18" t="s">
        <v>98</v>
      </c>
      <c r="C7" s="19">
        <v>400</v>
      </c>
      <c r="D7" s="13"/>
      <c r="E7" s="20" t="s">
        <v>13</v>
      </c>
      <c r="F7" s="21">
        <f>AVERAGE(C7:C12)</f>
        <v>414</v>
      </c>
      <c r="G7" s="13"/>
      <c r="H7" s="13"/>
      <c r="I7" s="13"/>
      <c r="J7" s="13"/>
      <c r="K7" s="13"/>
      <c r="L7" s="13"/>
      <c r="M7" s="13"/>
    </row>
    <row r="8" ht="18.5" spans="1:13">
      <c r="A8" s="13"/>
      <c r="B8" s="22" t="s">
        <v>99</v>
      </c>
      <c r="C8" s="23">
        <v>420</v>
      </c>
      <c r="D8" s="13"/>
      <c r="E8" s="20"/>
      <c r="F8" s="20"/>
      <c r="G8" s="13"/>
      <c r="H8" s="13"/>
      <c r="I8" s="13"/>
      <c r="J8" s="13"/>
      <c r="K8" s="13"/>
      <c r="L8" s="13"/>
      <c r="M8" s="13"/>
    </row>
    <row r="9" ht="18.5" spans="1:13">
      <c r="A9" s="13"/>
      <c r="B9" s="22" t="s">
        <v>100</v>
      </c>
      <c r="C9" s="23">
        <v>390</v>
      </c>
      <c r="D9" s="13"/>
      <c r="E9" s="20" t="s">
        <v>101</v>
      </c>
      <c r="F9" s="21">
        <f>_xlfn.STDEV.P(C7:C12)</f>
        <v>20.591260281974</v>
      </c>
      <c r="G9" s="13"/>
      <c r="H9" s="13"/>
      <c r="I9" s="13"/>
      <c r="J9" s="13"/>
      <c r="K9" s="13"/>
      <c r="L9" s="13"/>
      <c r="M9" s="13"/>
    </row>
    <row r="10" ht="18.5" spans="1:13">
      <c r="A10" s="13"/>
      <c r="B10" s="22" t="s">
        <v>102</v>
      </c>
      <c r="C10" s="23">
        <v>450</v>
      </c>
      <c r="D10" s="13"/>
      <c r="E10" s="13"/>
      <c r="F10" s="13"/>
      <c r="G10" s="13"/>
      <c r="H10" s="13"/>
      <c r="I10" s="13"/>
      <c r="J10" s="13"/>
      <c r="K10" s="13"/>
      <c r="L10" s="13"/>
      <c r="M10" s="13"/>
    </row>
    <row r="11" ht="18.5" spans="1:13">
      <c r="A11" s="13"/>
      <c r="B11" s="22" t="s">
        <v>103</v>
      </c>
      <c r="C11" s="23">
        <v>410</v>
      </c>
      <c r="D11" s="13"/>
      <c r="E11" s="13"/>
      <c r="F11" s="13"/>
      <c r="G11" s="13"/>
      <c r="H11" s="13"/>
      <c r="I11" s="13"/>
      <c r="J11" s="13"/>
      <c r="K11" s="13"/>
      <c r="L11" s="13"/>
      <c r="M11" s="13"/>
    </row>
    <row r="12" ht="18.5" spans="1:13">
      <c r="A12" s="13"/>
      <c r="B12" s="24"/>
      <c r="C12" s="24"/>
      <c r="D12" s="13"/>
      <c r="E12" s="13"/>
      <c r="F12" s="13"/>
      <c r="G12" s="13"/>
      <c r="H12" s="13"/>
      <c r="I12" s="13"/>
      <c r="J12" s="13"/>
      <c r="K12" s="13"/>
      <c r="L12" s="13"/>
      <c r="M12" s="13"/>
    </row>
    <row r="13" ht="18.5" spans="1:13">
      <c r="A13" s="13"/>
      <c r="B13" s="25" t="s">
        <v>104</v>
      </c>
      <c r="C13" s="13"/>
      <c r="D13" s="13"/>
      <c r="E13" s="13"/>
      <c r="F13" s="13"/>
      <c r="G13" s="13"/>
      <c r="H13" s="13"/>
      <c r="I13" s="13"/>
      <c r="J13" s="13"/>
      <c r="K13" s="13"/>
      <c r="L13" s="13"/>
      <c r="M13" s="13"/>
    </row>
    <row r="14" ht="18.5" spans="1:13">
      <c r="A14" s="13"/>
      <c r="B14" s="26" t="s">
        <v>105</v>
      </c>
      <c r="C14" s="27"/>
      <c r="D14" s="27"/>
      <c r="E14" s="27"/>
      <c r="F14" s="27"/>
      <c r="G14" s="27"/>
      <c r="H14" s="27"/>
      <c r="I14" s="27"/>
      <c r="J14" s="27"/>
      <c r="K14" s="27"/>
      <c r="L14" s="13"/>
      <c r="M14" s="13"/>
    </row>
    <row r="15" ht="18.5" spans="1:13">
      <c r="A15" s="13"/>
      <c r="B15" s="26" t="s">
        <v>106</v>
      </c>
      <c r="C15" s="27"/>
      <c r="D15" s="27"/>
      <c r="E15" s="27"/>
      <c r="F15" s="27"/>
      <c r="G15" s="27"/>
      <c r="H15" s="27"/>
      <c r="I15" s="27"/>
      <c r="J15" s="27"/>
      <c r="K15" s="27"/>
      <c r="L15" s="13"/>
      <c r="M15" s="13"/>
    </row>
    <row r="16" ht="18.5" spans="1:13">
      <c r="A16" s="13"/>
      <c r="B16" s="27"/>
      <c r="C16" s="27"/>
      <c r="D16" s="27"/>
      <c r="E16" s="27"/>
      <c r="F16" s="27"/>
      <c r="G16" s="27"/>
      <c r="H16" s="27"/>
      <c r="I16" s="27"/>
      <c r="J16" s="27"/>
      <c r="K16" s="27"/>
      <c r="L16" s="13"/>
      <c r="M16" s="13"/>
    </row>
    <row r="17" ht="18.5" spans="1:10">
      <c r="A17" s="13"/>
      <c r="B17" s="13"/>
      <c r="C17" s="13"/>
      <c r="D17" s="13"/>
      <c r="E17" s="13"/>
      <c r="F17" s="13"/>
      <c r="G17" s="13"/>
      <c r="H17" s="13"/>
      <c r="I17" s="13"/>
      <c r="J17" s="13"/>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
  <sheetViews>
    <sheetView workbookViewId="0">
      <selection activeCell="I9" sqref="I9"/>
    </sheetView>
  </sheetViews>
  <sheetFormatPr defaultColWidth="9" defaultRowHeight="14.5"/>
  <cols>
    <col min="1" max="1" width="15.7090909090909" customWidth="1"/>
  </cols>
  <sheetData>
    <row r="1" ht="21" spans="1:13">
      <c r="A1" s="1" t="s">
        <v>107</v>
      </c>
      <c r="B1" s="1" t="s">
        <v>108</v>
      </c>
      <c r="C1" s="1"/>
      <c r="D1" s="1"/>
      <c r="E1" s="1"/>
      <c r="F1" s="2"/>
      <c r="G1" s="2"/>
      <c r="H1" s="2"/>
      <c r="I1" s="2"/>
      <c r="J1" s="4"/>
      <c r="K1" s="4"/>
      <c r="L1" s="4"/>
      <c r="M1" s="4"/>
    </row>
    <row r="2" ht="21" spans="1:13">
      <c r="A2" s="1"/>
      <c r="B2" s="1" t="s">
        <v>109</v>
      </c>
      <c r="C2" s="1"/>
      <c r="D2" s="1"/>
      <c r="E2" s="1"/>
      <c r="F2" s="2"/>
      <c r="G2" s="2"/>
      <c r="H2" s="2"/>
      <c r="I2" s="2"/>
      <c r="J2" s="4"/>
      <c r="K2" s="4"/>
      <c r="L2" s="4"/>
      <c r="M2" s="4"/>
    </row>
    <row r="3" ht="21" spans="1:13">
      <c r="A3" s="1"/>
      <c r="B3" s="1" t="s">
        <v>110</v>
      </c>
      <c r="C3" s="1"/>
      <c r="D3" s="1"/>
      <c r="E3" s="1"/>
      <c r="F3" s="2"/>
      <c r="G3" s="2"/>
      <c r="H3" s="2"/>
      <c r="I3" s="2"/>
      <c r="J3" s="4"/>
      <c r="K3" s="4"/>
      <c r="L3" s="4"/>
      <c r="M3" s="4"/>
    </row>
    <row r="4" spans="1:13">
      <c r="A4" s="3"/>
      <c r="B4" s="3"/>
      <c r="C4" s="3"/>
      <c r="D4" s="3"/>
      <c r="E4" s="3"/>
      <c r="F4" s="4"/>
      <c r="G4" s="4"/>
      <c r="H4" s="4"/>
      <c r="I4" s="4"/>
      <c r="J4" s="4"/>
      <c r="K4" s="4"/>
      <c r="L4" s="4"/>
      <c r="M4" s="4"/>
    </row>
    <row r="5" ht="15.25"/>
    <row r="6" ht="15.25" spans="1:6">
      <c r="A6" s="5"/>
      <c r="B6" s="6" t="s">
        <v>111</v>
      </c>
      <c r="C6" s="7" t="s">
        <v>112</v>
      </c>
      <c r="E6" s="8" t="s">
        <v>113</v>
      </c>
      <c r="F6" s="8">
        <f>AVERAGE(C7:C14)</f>
        <v>19.625</v>
      </c>
    </row>
    <row r="7" spans="2:6">
      <c r="B7" s="9">
        <v>1</v>
      </c>
      <c r="C7" s="9">
        <v>15</v>
      </c>
      <c r="E7" s="8"/>
      <c r="F7" s="8"/>
    </row>
    <row r="8" spans="2:6">
      <c r="B8" s="10">
        <v>2</v>
      </c>
      <c r="C8" s="10">
        <v>18</v>
      </c>
      <c r="E8" s="8"/>
      <c r="F8" s="8"/>
    </row>
    <row r="9" spans="2:6">
      <c r="B9" s="10">
        <v>3</v>
      </c>
      <c r="C9" s="10">
        <v>20</v>
      </c>
      <c r="E9" s="8" t="s">
        <v>114</v>
      </c>
      <c r="F9" s="8">
        <f>MEDIAN(C7:C14)</f>
        <v>19.5</v>
      </c>
    </row>
    <row r="10" spans="2:6">
      <c r="B10" s="10">
        <v>4</v>
      </c>
      <c r="C10" s="10">
        <v>22</v>
      </c>
      <c r="E10" s="8"/>
      <c r="F10" s="8"/>
    </row>
    <row r="11" spans="2:6">
      <c r="B11" s="10">
        <v>5</v>
      </c>
      <c r="C11" s="10">
        <v>25</v>
      </c>
      <c r="E11" s="8" t="s">
        <v>115</v>
      </c>
      <c r="F11" s="8" t="s">
        <v>116</v>
      </c>
    </row>
    <row r="12" spans="2:6">
      <c r="B12" s="10">
        <v>6</v>
      </c>
      <c r="C12" s="10">
        <v>17</v>
      </c>
      <c r="E12" s="8"/>
      <c r="F12" s="8"/>
    </row>
    <row r="13" spans="2:6">
      <c r="B13" s="10">
        <v>7</v>
      </c>
      <c r="C13" s="10">
        <v>19</v>
      </c>
      <c r="E13" s="8" t="s">
        <v>117</v>
      </c>
      <c r="F13" s="8">
        <f>MAX(C7:C14)-MIN(C7:C14)</f>
        <v>10</v>
      </c>
    </row>
    <row r="14" spans="2:6">
      <c r="B14" s="10">
        <v>8</v>
      </c>
      <c r="C14" s="10">
        <v>21</v>
      </c>
      <c r="E14" s="8"/>
      <c r="F14" s="8"/>
    </row>
    <row r="15" spans="5:6">
      <c r="E15" s="8" t="s">
        <v>118</v>
      </c>
      <c r="F15" s="8">
        <f>_xlfn.STDEV.S(C7:C14)</f>
        <v>3.11390888939104</v>
      </c>
    </row>
    <row r="16" ht="21" spans="1:2">
      <c r="A16" s="11"/>
      <c r="B16" s="12" t="s">
        <v>119</v>
      </c>
    </row>
    <row r="17" ht="18.5" spans="2:11">
      <c r="B17" s="13" t="s">
        <v>120</v>
      </c>
      <c r="C17" s="13"/>
      <c r="D17" s="13"/>
      <c r="E17" s="13"/>
      <c r="F17" s="13"/>
      <c r="G17" s="13"/>
      <c r="H17" s="13"/>
      <c r="I17" s="13"/>
      <c r="J17" s="13"/>
      <c r="K17" s="13"/>
    </row>
    <row r="18" ht="18.5" spans="2:11">
      <c r="B18" s="13" t="s">
        <v>121</v>
      </c>
      <c r="C18" s="13"/>
      <c r="D18" s="13"/>
      <c r="E18" s="13"/>
      <c r="F18" s="13"/>
      <c r="G18" s="13"/>
      <c r="H18" s="13"/>
      <c r="I18" s="13"/>
      <c r="J18" s="13"/>
      <c r="K18" s="13"/>
    </row>
    <row r="19" ht="18.5" spans="2:11">
      <c r="B19" s="13" t="s">
        <v>122</v>
      </c>
      <c r="C19" s="13"/>
      <c r="D19" s="13"/>
      <c r="E19" s="13"/>
      <c r="F19" s="13"/>
      <c r="G19" s="13"/>
      <c r="H19" s="13"/>
      <c r="I19" s="13"/>
      <c r="J19" s="13"/>
      <c r="K19" s="13"/>
    </row>
    <row r="20" ht="18.5" spans="2:11">
      <c r="B20" s="13" t="s">
        <v>123</v>
      </c>
      <c r="C20" s="13"/>
      <c r="D20" s="13"/>
      <c r="E20" s="13"/>
      <c r="F20" s="13"/>
      <c r="G20" s="13"/>
      <c r="H20" s="13"/>
      <c r="I20" s="13"/>
      <c r="J20" s="13"/>
      <c r="K20" s="1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10</vt:i4>
      </vt:variant>
    </vt:vector>
  </HeadingPairs>
  <TitlesOfParts>
    <vt:vector size="10" baseType="lpstr">
      <vt:lpstr>Ques 1</vt:lpstr>
      <vt:lpstr>Ques 2</vt:lpstr>
      <vt:lpstr>Ques 3</vt:lpstr>
      <vt:lpstr>Ques 4</vt:lpstr>
      <vt:lpstr>Ques 5</vt:lpstr>
      <vt:lpstr>Ques 6</vt:lpstr>
      <vt:lpstr>Ques 7</vt:lpstr>
      <vt:lpstr>Ques 8</vt:lpstr>
      <vt:lpstr>Ques 9</vt:lpstr>
      <vt:lpstr>Ques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vandana sharma</dc:creator>
  <cp:lastModifiedBy>Devansh Goel</cp:lastModifiedBy>
  <dcterms:created xsi:type="dcterms:W3CDTF">2025-12-19T15:34:00Z</dcterms:created>
  <dcterms:modified xsi:type="dcterms:W3CDTF">2025-12-30T12:26:05Z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2300879186BB43999B019AD9E206F9DE_12</vt:lpwstr>
  </property>
  <property fmtid="{D5CDD505-2E9C-101B-9397-08002B2CF9AE}" pid="3" name="KSOProductBuildVer">
    <vt:lpwstr>1033-12.2.0.23196</vt:lpwstr>
  </property>
</Properties>
</file>