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260d041d5c3d13/Desktop/Data Analysis/"/>
    </mc:Choice>
  </mc:AlternateContent>
  <xr:revisionPtr revIDLastSave="237" documentId="8_{01FEE527-1833-4968-91E0-1723DDF88772}" xr6:coauthVersionLast="47" xr6:coauthVersionMax="47" xr10:uidLastSave="{AE75B575-AEDB-4340-AC70-486D897BDB47}"/>
  <bookViews>
    <workbookView xWindow="-110" yWindow="-110" windowWidth="19420" windowHeight="10300" activeTab="6" xr2:uid="{287FCEC6-3158-4833-8C1F-0E188AA32BD3}"/>
  </bookViews>
  <sheets>
    <sheet name="Ques 1" sheetId="1" r:id="rId1"/>
    <sheet name="Ques 2" sheetId="2" r:id="rId2"/>
    <sheet name="Ques 3" sheetId="3" r:id="rId3"/>
    <sheet name="Ques 4" sheetId="4" r:id="rId4"/>
    <sheet name="Ques 5" sheetId="5" r:id="rId5"/>
    <sheet name="Ques 6" sheetId="6" r:id="rId6"/>
    <sheet name="Ques 7" sheetId="7" r:id="rId7"/>
    <sheet name="Ques 8" sheetId="8" r:id="rId8"/>
  </sheets>
  <definedNames>
    <definedName name="_xlchart.v1.0" hidden="1">'Ques 2'!$A$3:$A$112</definedName>
    <definedName name="_xlchart.v1.1" hidden="1">'Ques 2'!$A$3:$A$112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7" l="1"/>
  <c r="B3" i="1"/>
</calcChain>
</file>

<file path=xl/sharedStrings.xml><?xml version="1.0" encoding="utf-8"?>
<sst xmlns="http://schemas.openxmlformats.org/spreadsheetml/2006/main" count="65" uniqueCount="65">
  <si>
    <t>Ques 1: Simulate 30 rolls with =RANDBETWEEN(1,6). What is the probability of rolling a 3 exactly 5 times? (Hint: Use BINOM.DIST) </t>
  </si>
  <si>
    <t>Ques 2: Generate 100 values in Excel using the continuous uniform distribution RAND() and plot a histogram. Describe the shape of the distribution. </t>
  </si>
  <si>
    <t>Ques 3: A dataset has a mean of 50 and a standard deviation of 5. What percentage of values lie between 45 and 55 if the data follows a normal distribution? </t>
  </si>
  <si>
    <t>Ques 4: What is the concept of standardization (z-score), and why is it important in data analysis? Explain the formula and how standardization transforms a dataset. </t>
  </si>
  <si>
    <t>Ques 5: What is Kurtosis and their type? </t>
  </si>
  <si>
    <t>Ques 6: Explain why the uniform distribution is a good model for the outcome of rolling a fair die. </t>
  </si>
  <si>
    <t>Ques 7: Use Excel to compute the probability of getting at least 8 successes in 15 trials with success probability 0.5 </t>
  </si>
  <si>
    <t>Ques 8: How does log transformation help in stabilizing variance and making data more normally distributed?</t>
  </si>
  <si>
    <t>So, P(X=5)=0.192108 or 19.2%</t>
  </si>
  <si>
    <r>
      <t xml:space="preserve">So, the probability of rolling a 3 exactly 5 times in 30 rolls is </t>
    </r>
    <r>
      <rPr>
        <b/>
        <sz val="14"/>
        <color indexed="8"/>
        <rFont val="Calibri"/>
        <charset val="134"/>
      </rPr>
      <t>19.21%</t>
    </r>
    <r>
      <rPr>
        <sz val="14"/>
        <color indexed="8"/>
        <rFont val="Calibri"/>
        <charset val="134"/>
      </rPr>
      <t>.</t>
    </r>
  </si>
  <si>
    <r>
      <t xml:space="preserve">The histogram is </t>
    </r>
    <r>
      <rPr>
        <b/>
        <i/>
        <sz val="11"/>
        <color theme="1"/>
        <rFont val="Aptos Narrow"/>
        <family val="2"/>
        <scheme val="minor"/>
      </rPr>
      <t>roughly flat or rectangular</t>
    </r>
    <r>
      <rPr>
        <sz val="11"/>
        <color theme="1"/>
        <rFont val="Aptos Narrow"/>
        <family val="2"/>
        <scheme val="minor"/>
      </rPr>
      <t>, showing that all values between 0 and 1 occur with almost equal frequency.</t>
    </r>
  </si>
  <si>
    <t>Empirical Rule:</t>
  </si>
  <si>
    <t>Given:</t>
  </si>
  <si>
    <t>Range:</t>
  </si>
  <si>
    <t>45 = 50 - 5 = μ - 1σ</t>
  </si>
  <si>
    <t>55 = 50 + 5 = μ + 1σ</t>
  </si>
  <si>
    <t>This question uses the Empirical Rule (68–95–99.7 Rule) for Normal Distribution.</t>
  </si>
  <si>
    <t>So, the range from 45 to 55 covers one standard deviation from the mean.</t>
  </si>
  <si>
    <t>95% lies within ±2 standard deviations.</t>
  </si>
  <si>
    <t>99.7% lies within ±3 standard deviations.</t>
  </si>
  <si>
    <t>Mean (μ) = 50</t>
  </si>
  <si>
    <t>Standard deviation (σ) = 5</t>
  </si>
  <si>
    <t>68% of data lies within ±1 standard deviation.B4</t>
  </si>
  <si>
    <t>:Approximately 68% of the values lie between 45 and 55.</t>
  </si>
  <si>
    <t>So,Answer</t>
  </si>
  <si>
    <t>Z-score normalization, also called standardization, transforms data so that it has a mean (average) of 0 and a standard deviation of 1.</t>
  </si>
  <si>
    <t>Why It’s Important:</t>
  </si>
  <si>
    <t>·       It allows comparison of values from different datasets or scales.</t>
  </si>
  <si>
    <t>·       It helps identify outliers (values far from the mean).</t>
  </si>
  <si>
    <t>·       It’s essential for many statistical and machine learning methods.</t>
  </si>
  <si>
    <t>This process adjusts data values based on how far they deviate from the mean, measured in units of standard deviation.</t>
  </si>
  <si>
    <t>x=</t>
  </si>
  <si>
    <t xml:space="preserve">where </t>
  </si>
  <si>
    <t>m=</t>
  </si>
  <si>
    <t>s=</t>
  </si>
  <si>
    <t>mean</t>
  </si>
  <si>
    <t xml:space="preserve">standard deviation </t>
  </si>
  <si>
    <t>z=</t>
  </si>
  <si>
    <t xml:space="preserve">standardized value </t>
  </si>
  <si>
    <t>raw value</t>
  </si>
  <si>
    <t>Transformation Effect:</t>
  </si>
  <si>
    <t>After standardizing:</t>
  </si>
  <si>
    <t>Standardization transforms data into z-scores, making them comparable and centered around zero</t>
  </si>
  <si>
    <r>
      <t xml:space="preserve">●        The new </t>
    </r>
    <r>
      <rPr>
        <b/>
        <sz val="14"/>
        <color theme="1"/>
        <rFont val="Calibri"/>
        <family val="2"/>
      </rPr>
      <t>mean becomes 0</t>
    </r>
    <r>
      <rPr>
        <sz val="14"/>
        <color theme="1"/>
        <rFont val="Calibri"/>
        <family val="2"/>
      </rPr>
      <t>.</t>
    </r>
  </si>
  <si>
    <r>
      <t xml:space="preserve">●        The new </t>
    </r>
    <r>
      <rPr>
        <b/>
        <sz val="14"/>
        <color theme="1"/>
        <rFont val="Calibri"/>
        <family val="2"/>
      </rPr>
      <t>standard deviation becomes 1</t>
    </r>
    <r>
      <rPr>
        <sz val="14"/>
        <color theme="1"/>
        <rFont val="Calibri"/>
        <family val="2"/>
      </rPr>
      <t>.</t>
    </r>
  </si>
  <si>
    <t>Kurtosis is a measure of the tailedness of a distribution</t>
  </si>
  <si>
    <t>3 types:</t>
  </si>
  <si>
    <t>.It is a statistical measure used to describe the degree to which scores cluster in the tails or the peak of a frequency distribution.</t>
  </si>
  <si>
    <r>
      <t>Mesokurtic</t>
    </r>
    <r>
      <rPr>
        <sz val="14"/>
        <color theme="1"/>
        <rFont val="Calibri"/>
        <family val="2"/>
      </rPr>
      <t>: Distributions that are moderate in breadth and curves with a medium peaked height.</t>
    </r>
  </si>
  <si>
    <r>
      <t>Leptokurtic:</t>
    </r>
    <r>
      <rPr>
        <sz val="14"/>
        <color theme="1"/>
        <rFont val="Calibri"/>
        <family val="2"/>
      </rPr>
      <t xml:space="preserve"> More values in the distribution tails and more values close to the mean (i.e., sharply peaked with heavy tails)</t>
    </r>
  </si>
  <si>
    <r>
      <t>Platykurtic</t>
    </r>
    <r>
      <rPr>
        <sz val="14"/>
        <color theme="1"/>
        <rFont val="Calibri"/>
        <family val="2"/>
      </rPr>
      <t xml:space="preserve">: Fewer values in the tails and fewer values close to the mean (i.e., the curve has a flat peak and has more dispersed scores with lighter tails). </t>
    </r>
  </si>
  <si>
    <t>A Uniform Distribution is a type of probability distribution in which every outcome in a given range is equally likely to occur.</t>
  </si>
  <si>
    <t>That means there is no bias—no outcome is more likely than another within the specified set</t>
  </si>
  <si>
    <t>For a fair die:</t>
  </si>
  <si>
    <t>Each outcome has the same probability</t>
  </si>
  <si>
    <t>Outcomes: 1, 2, 3, 4, 5, 6</t>
  </si>
  <si>
    <t>P(X)=1/6 where x=1,2,3,4,5,6</t>
  </si>
  <si>
    <t>A fair die follows a discrete uniform distribution because each of its six faces has an equal probability of appearing</t>
  </si>
  <si>
    <t>So, The cumulative probability up to 7 gives  .
Subtracting this from 1 gives the probability of getting 8 or more successes</t>
  </si>
  <si>
    <t>P(X&gt;=8)=0.5</t>
  </si>
  <si>
    <t>Log transformation is a method used to reduce skewness and bring the data distribution closer to normal. </t>
  </si>
  <si>
    <t>By applying a logarithmic transformation to the target variable, we can make the data more symmetric, stabilize the variance, and improve the performance of our regression models.</t>
  </si>
  <si>
    <t>Log transformation:</t>
  </si>
  <si>
    <t>2. Makes data more normally distributed by reducing right-skewness.</t>
  </si>
  <si>
    <t>1. It stabilizes the variance by compressing large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</si>
</sst>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sz val="11"/>
      <color theme="0"/>
      <name val="Aptos Narrow"/>
      <family val="2"/>
      <scheme val="minor"/>
    </font>
    <font>
      <sz val="14"/>
      <color indexed="8"/>
      <name val="Calibri"/>
      <charset val="134"/>
    </font>
    <font>
      <b/>
      <sz val="14"/>
      <color indexed="8"/>
      <name val="Calibri"/>
      <charset val="134"/>
    </font>
    <font>
      <b/>
      <i/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u/>
      <sz val="14"/>
      <name val="Calibri"/>
      <family val="2"/>
    </font>
    <font>
      <sz val="11"/>
      <color theme="1"/>
      <name val="Symbol"/>
      <family val="1"/>
      <charset val="2"/>
    </font>
    <font>
      <sz val="16"/>
      <color theme="1"/>
      <name val="Aptos Narrow"/>
      <family val="2"/>
      <scheme val="minor"/>
    </font>
    <font>
      <sz val="16"/>
      <color theme="1"/>
      <name val="Symbol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/>
    <xf numFmtId="0" fontId="3" fillId="2" borderId="0" xfId="0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0" fillId="2" borderId="0" xfId="0" applyFill="1"/>
    <xf numFmtId="0" fontId="2" fillId="2" borderId="0" xfId="0" applyFont="1" applyFill="1"/>
    <xf numFmtId="0" fontId="1" fillId="2" borderId="0" xfId="0" applyFont="1" applyFill="1"/>
    <xf numFmtId="0" fontId="6" fillId="3" borderId="0" xfId="0" applyNumberFormat="1" applyFont="1" applyFill="1" applyBorder="1" applyAlignment="1" applyProtection="1"/>
    <xf numFmtId="0" fontId="0" fillId="4" borderId="0" xfId="0" applyFill="1"/>
    <xf numFmtId="0" fontId="0" fillId="0" borderId="0" xfId="0" applyBorder="1"/>
    <xf numFmtId="0" fontId="0" fillId="0" borderId="1" xfId="0" applyBorder="1"/>
    <xf numFmtId="0" fontId="9" fillId="2" borderId="0" xfId="0" applyFont="1" applyFill="1"/>
    <xf numFmtId="0" fontId="10" fillId="0" borderId="0" xfId="0" applyFont="1"/>
    <xf numFmtId="0" fontId="10" fillId="0" borderId="0" xfId="0" applyFont="1" applyBorder="1"/>
    <xf numFmtId="0" fontId="9" fillId="0" borderId="0" xfId="0" applyFont="1" applyBorder="1" applyAlignment="1">
      <alignment horizontal="left"/>
    </xf>
    <xf numFmtId="0" fontId="10" fillId="4" borderId="0" xfId="0" applyFont="1" applyFill="1" applyBorder="1"/>
    <xf numFmtId="0" fontId="11" fillId="0" borderId="0" xfId="0" applyFont="1" applyBorder="1" applyAlignment="1"/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0" xfId="0" applyFont="1"/>
    <xf numFmtId="0" fontId="12" fillId="0" borderId="0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0" fillId="0" borderId="3" xfId="0" applyFont="1" applyBorder="1"/>
    <xf numFmtId="0" fontId="0" fillId="0" borderId="8" xfId="0" applyBorder="1"/>
    <xf numFmtId="0" fontId="10" fillId="0" borderId="1" xfId="0" applyFont="1" applyBorder="1"/>
    <xf numFmtId="0" fontId="10" fillId="0" borderId="9" xfId="0" applyFont="1" applyBorder="1"/>
    <xf numFmtId="0" fontId="10" fillId="4" borderId="0" xfId="0" applyFont="1" applyFill="1" applyAlignment="1">
      <alignment vertical="center"/>
    </xf>
    <xf numFmtId="0" fontId="10" fillId="4" borderId="0" xfId="0" applyFont="1" applyFill="1"/>
    <xf numFmtId="0" fontId="9" fillId="4" borderId="0" xfId="0" applyFont="1" applyFill="1" applyAlignment="1">
      <alignment vertical="center"/>
    </xf>
    <xf numFmtId="0" fontId="10" fillId="4" borderId="0" xfId="0" applyFont="1" applyFill="1" applyAlignment="1">
      <alignment horizontal="left" vertical="center" indent="6"/>
    </xf>
    <xf numFmtId="0" fontId="9" fillId="4" borderId="0" xfId="0" applyFont="1" applyFill="1"/>
    <xf numFmtId="0" fontId="9" fillId="2" borderId="0" xfId="0" applyFont="1" applyFill="1" applyAlignment="1">
      <alignment vertical="center"/>
    </xf>
    <xf numFmtId="0" fontId="10" fillId="2" borderId="0" xfId="0" applyFont="1" applyFill="1"/>
    <xf numFmtId="0" fontId="0" fillId="0" borderId="0" xfId="0" applyAlignment="1"/>
    <xf numFmtId="0" fontId="10" fillId="0" borderId="10" xfId="0" applyFont="1" applyBorder="1"/>
    <xf numFmtId="0" fontId="10" fillId="0" borderId="11" xfId="0" applyFont="1" applyBorder="1"/>
    <xf numFmtId="0" fontId="10" fillId="0" borderId="12" xfId="0" applyFont="1" applyBorder="1"/>
    <xf numFmtId="0" fontId="0" fillId="4" borderId="0" xfId="0" applyNumberFormat="1" applyFill="1"/>
    <xf numFmtId="0" fontId="0" fillId="0" borderId="0" xfId="0" applyFill="1" applyBorder="1"/>
    <xf numFmtId="0" fontId="0" fillId="4" borderId="2" xfId="0" applyFill="1" applyBorder="1"/>
    <xf numFmtId="0" fontId="13" fillId="0" borderId="0" xfId="0" applyFont="1" applyBorder="1"/>
    <xf numFmtId="0" fontId="14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14C8C323-E1A8-44DB-B762-3AA67A2E5B87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606425</xdr:colOff>
      <xdr:row>2</xdr:row>
      <xdr:rowOff>161925</xdr:rowOff>
    </xdr:from>
    <xdr:to>
      <xdr:col>13</xdr:col>
      <xdr:colOff>301625</xdr:colOff>
      <xdr:row>17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19FF61C-A902-8E47-4596-D2C57A026F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54425" y="6127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3</xdr:col>
      <xdr:colOff>101600</xdr:colOff>
      <xdr:row>13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75FD2C-F9B5-013F-B8CC-F0FE7761A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628900"/>
          <a:ext cx="711200" cy="361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504EC-C504-4B1C-B89F-81142D5796EF}">
  <dimension ref="A1:S7"/>
  <sheetViews>
    <sheetView workbookViewId="0">
      <selection activeCell="G14" sqref="G14"/>
    </sheetView>
  </sheetViews>
  <sheetFormatPr defaultRowHeight="14.5"/>
  <sheetData>
    <row r="1" spans="1:19" ht="2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6"/>
      <c r="P1" s="6"/>
      <c r="Q1" s="6"/>
      <c r="R1" s="6"/>
      <c r="S1" s="6"/>
    </row>
    <row r="3" spans="1:19" ht="18.5">
      <c r="B3" s="8">
        <f>_xlfn.BINOM.DIST(5,30,1/6,FALSE)</f>
        <v>0.19210813105163416</v>
      </c>
      <c r="C3" s="8"/>
      <c r="D3" s="8"/>
      <c r="E3" s="8"/>
      <c r="F3" s="8"/>
      <c r="G3" s="8"/>
      <c r="H3" s="8"/>
      <c r="I3" s="8"/>
    </row>
    <row r="4" spans="1:19" ht="18.5">
      <c r="B4" s="8"/>
      <c r="C4" s="8"/>
      <c r="D4" s="8"/>
      <c r="E4" s="8"/>
      <c r="F4" s="8"/>
      <c r="G4" s="8"/>
      <c r="H4" s="8"/>
      <c r="I4" s="8"/>
    </row>
    <row r="5" spans="1:19" ht="18.5">
      <c r="B5" s="8" t="s">
        <v>8</v>
      </c>
      <c r="C5" s="8"/>
      <c r="D5" s="8"/>
      <c r="E5" s="8"/>
      <c r="F5" s="8"/>
      <c r="G5" s="8"/>
      <c r="H5" s="8"/>
      <c r="I5" s="8"/>
    </row>
    <row r="6" spans="1:19" ht="18.5">
      <c r="B6" s="8"/>
      <c r="C6" s="8"/>
      <c r="D6" s="8"/>
      <c r="E6" s="8"/>
      <c r="F6" s="8"/>
      <c r="G6" s="8"/>
      <c r="H6" s="8"/>
      <c r="I6" s="8"/>
    </row>
    <row r="7" spans="1:19" ht="18.5">
      <c r="B7" s="8" t="s">
        <v>9</v>
      </c>
      <c r="C7" s="8"/>
      <c r="D7" s="8"/>
      <c r="E7" s="8"/>
      <c r="F7" s="8"/>
      <c r="G7" s="8"/>
      <c r="H7" s="8"/>
      <c r="I7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A03D6-514B-4DE3-BA4D-72B71EEC3E49}">
  <dimension ref="A1:U112"/>
  <sheetViews>
    <sheetView zoomScaleNormal="100" workbookViewId="0">
      <selection activeCell="E3" sqref="E3"/>
    </sheetView>
  </sheetViews>
  <sheetFormatPr defaultRowHeight="14.5"/>
  <cols>
    <col min="1" max="1" width="12.1796875" customWidth="1"/>
  </cols>
  <sheetData>
    <row r="1" spans="1:21" ht="21">
      <c r="A1" s="3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7"/>
      <c r="R1" s="7"/>
      <c r="S1" s="7"/>
      <c r="T1" s="7"/>
      <c r="U1" s="7"/>
    </row>
    <row r="3" spans="1:21">
      <c r="A3">
        <v>0.66975419225009902</v>
      </c>
      <c r="C3" s="20"/>
    </row>
    <row r="4" spans="1:21">
      <c r="A4">
        <v>0.20910576750162499</v>
      </c>
    </row>
    <row r="5" spans="1:21">
      <c r="A5">
        <v>0.113604558430834</v>
      </c>
    </row>
    <row r="6" spans="1:21">
      <c r="A6">
        <v>0.568013362118997</v>
      </c>
    </row>
    <row r="7" spans="1:21">
      <c r="A7">
        <v>0.71746150322726998</v>
      </c>
    </row>
    <row r="8" spans="1:21">
      <c r="A8">
        <v>1.1156060060275601E-3</v>
      </c>
    </row>
    <row r="9" spans="1:21">
      <c r="A9">
        <v>0.77035495206164994</v>
      </c>
    </row>
    <row r="10" spans="1:21">
      <c r="A10">
        <v>0.47666664464645597</v>
      </c>
    </row>
    <row r="11" spans="1:21">
      <c r="A11">
        <v>8.2717581065767695E-2</v>
      </c>
    </row>
    <row r="12" spans="1:21">
      <c r="A12">
        <v>0.51540826521385796</v>
      </c>
    </row>
    <row r="13" spans="1:21">
      <c r="A13">
        <v>9.5335504102950705E-2</v>
      </c>
    </row>
    <row r="14" spans="1:21">
      <c r="A14">
        <v>5.2705463084321301E-2</v>
      </c>
    </row>
    <row r="15" spans="1:21">
      <c r="A15">
        <v>0.115511576454846</v>
      </c>
    </row>
    <row r="16" spans="1:21">
      <c r="A16">
        <v>0.59509614379712905</v>
      </c>
    </row>
    <row r="17" spans="1:17">
      <c r="A17">
        <v>9.27987517740132E-2</v>
      </c>
    </row>
    <row r="18" spans="1:17">
      <c r="A18">
        <v>0.20914095733780999</v>
      </c>
    </row>
    <row r="19" spans="1:17">
      <c r="A19">
        <v>4.9149403347023397E-2</v>
      </c>
    </row>
    <row r="20" spans="1:17">
      <c r="A20">
        <v>0.27770793651179898</v>
      </c>
      <c r="G20" s="9" t="s">
        <v>10</v>
      </c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>
      <c r="A21">
        <v>0.84611513111279302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>
      <c r="A22">
        <v>0.724429610047989</v>
      </c>
    </row>
    <row r="23" spans="1:17">
      <c r="A23">
        <v>0.58128932479151696</v>
      </c>
    </row>
    <row r="24" spans="1:17">
      <c r="A24">
        <v>0.61835238769652601</v>
      </c>
    </row>
    <row r="25" spans="1:17">
      <c r="A25">
        <v>0.26012456321585897</v>
      </c>
    </row>
    <row r="26" spans="1:17">
      <c r="A26">
        <v>0.97235278437769601</v>
      </c>
    </row>
    <row r="27" spans="1:17">
      <c r="A27">
        <v>0.48824977483542598</v>
      </c>
    </row>
    <row r="28" spans="1:17">
      <c r="A28">
        <v>0.68638105862668597</v>
      </c>
    </row>
    <row r="29" spans="1:17">
      <c r="A29">
        <v>3.0298466097149701E-2</v>
      </c>
    </row>
    <row r="30" spans="1:17">
      <c r="A30">
        <v>0.80827706899032503</v>
      </c>
    </row>
    <row r="31" spans="1:17">
      <c r="A31">
        <v>0.37521304421887303</v>
      </c>
    </row>
    <row r="32" spans="1:17">
      <c r="A32">
        <v>0.59620606358199202</v>
      </c>
    </row>
    <row r="33" spans="1:1">
      <c r="A33">
        <v>7.7684015305825999E-2</v>
      </c>
    </row>
    <row r="34" spans="1:1">
      <c r="A34">
        <v>0.69583384076660104</v>
      </c>
    </row>
    <row r="35" spans="1:1">
      <c r="A35">
        <v>0.29618150985592001</v>
      </c>
    </row>
    <row r="36" spans="1:1">
      <c r="A36">
        <v>0.17876527951568</v>
      </c>
    </row>
    <row r="37" spans="1:1">
      <c r="A37">
        <v>0.133826984240388</v>
      </c>
    </row>
    <row r="38" spans="1:1">
      <c r="A38">
        <v>0.47010683211374998</v>
      </c>
    </row>
    <row r="39" spans="1:1">
      <c r="A39">
        <v>0.221559130369922</v>
      </c>
    </row>
    <row r="40" spans="1:1">
      <c r="A40">
        <v>1.7967157266296298E-2</v>
      </c>
    </row>
    <row r="41" spans="1:1">
      <c r="A41">
        <v>0.30238082476415301</v>
      </c>
    </row>
    <row r="42" spans="1:1">
      <c r="A42">
        <v>0.23046836880785901</v>
      </c>
    </row>
    <row r="43" spans="1:1">
      <c r="A43">
        <v>0.56504864647993702</v>
      </c>
    </row>
    <row r="44" spans="1:1">
      <c r="A44">
        <v>0.89066134897747995</v>
      </c>
    </row>
    <row r="45" spans="1:1">
      <c r="A45">
        <v>0.29328966246878402</v>
      </c>
    </row>
    <row r="46" spans="1:1">
      <c r="A46">
        <v>0.147350909925205</v>
      </c>
    </row>
    <row r="47" spans="1:1">
      <c r="A47">
        <v>0.72244744564768304</v>
      </c>
    </row>
    <row r="48" spans="1:1">
      <c r="A48">
        <v>0.53671987847901903</v>
      </c>
    </row>
    <row r="49" spans="1:1">
      <c r="A49">
        <v>0.98154973345919805</v>
      </c>
    </row>
    <row r="50" spans="1:1">
      <c r="A50">
        <v>0.25362905188492801</v>
      </c>
    </row>
    <row r="51" spans="1:1">
      <c r="A51">
        <v>0.87899935915489802</v>
      </c>
    </row>
    <row r="52" spans="1:1">
      <c r="A52">
        <v>0.65325193077293497</v>
      </c>
    </row>
    <row r="53" spans="1:1">
      <c r="A53">
        <v>0.55670372835239701</v>
      </c>
    </row>
    <row r="54" spans="1:1">
      <c r="A54">
        <v>0.34176811094474102</v>
      </c>
    </row>
    <row r="55" spans="1:1">
      <c r="A55">
        <v>1.79422706789172E-2</v>
      </c>
    </row>
    <row r="56" spans="1:1">
      <c r="A56">
        <v>0.52562701438832904</v>
      </c>
    </row>
    <row r="57" spans="1:1">
      <c r="A57">
        <v>0.45241046753389302</v>
      </c>
    </row>
    <row r="58" spans="1:1">
      <c r="A58">
        <v>0.71232551759363105</v>
      </c>
    </row>
    <row r="59" spans="1:1">
      <c r="A59">
        <v>3.7353598035248202E-2</v>
      </c>
    </row>
    <row r="60" spans="1:1">
      <c r="A60">
        <v>0.46237081712591299</v>
      </c>
    </row>
    <row r="61" spans="1:1">
      <c r="A61">
        <v>0.11019245832312501</v>
      </c>
    </row>
    <row r="62" spans="1:1">
      <c r="A62">
        <v>0.877463033809323</v>
      </c>
    </row>
    <row r="63" spans="1:1">
      <c r="A63">
        <v>7.9882104959868999E-2</v>
      </c>
    </row>
    <row r="64" spans="1:1">
      <c r="A64">
        <v>0.84018295022091904</v>
      </c>
    </row>
    <row r="65" spans="1:1">
      <c r="A65">
        <v>0.57435647596429695</v>
      </c>
    </row>
    <row r="66" spans="1:1">
      <c r="A66">
        <v>0.101840902089531</v>
      </c>
    </row>
    <row r="67" spans="1:1">
      <c r="A67">
        <v>0.57484253859078305</v>
      </c>
    </row>
    <row r="68" spans="1:1">
      <c r="A68">
        <v>0.46211502347882899</v>
      </c>
    </row>
    <row r="69" spans="1:1">
      <c r="A69">
        <v>0.65112882608446099</v>
      </c>
    </row>
    <row r="70" spans="1:1">
      <c r="A70">
        <v>0.34917341683055098</v>
      </c>
    </row>
    <row r="71" spans="1:1">
      <c r="A71">
        <v>0.86418140504111796</v>
      </c>
    </row>
    <row r="72" spans="1:1">
      <c r="A72">
        <v>0.69237404694250104</v>
      </c>
    </row>
    <row r="73" spans="1:1">
      <c r="A73">
        <v>0.29326943938328498</v>
      </c>
    </row>
    <row r="74" spans="1:1">
      <c r="A74">
        <v>0.14115370105132399</v>
      </c>
    </row>
    <row r="75" spans="1:1">
      <c r="A75">
        <v>0.95050741004286199</v>
      </c>
    </row>
    <row r="76" spans="1:1">
      <c r="A76">
        <v>0.103922528010316</v>
      </c>
    </row>
    <row r="77" spans="1:1">
      <c r="A77">
        <v>0.89050273806607505</v>
      </c>
    </row>
    <row r="78" spans="1:1">
      <c r="A78">
        <v>0.10520925995160001</v>
      </c>
    </row>
    <row r="79" spans="1:1">
      <c r="A79">
        <v>6.0407222530048897E-2</v>
      </c>
    </row>
    <row r="80" spans="1:1">
      <c r="A80">
        <v>0.130400759308305</v>
      </c>
    </row>
    <row r="81" spans="1:1">
      <c r="A81">
        <v>0.93049131797698803</v>
      </c>
    </row>
    <row r="82" spans="1:1">
      <c r="A82">
        <v>0.76508959960218903</v>
      </c>
    </row>
    <row r="83" spans="1:1">
      <c r="A83">
        <v>0.59299783106588599</v>
      </c>
    </row>
    <row r="84" spans="1:1">
      <c r="A84">
        <v>0.171978147601033</v>
      </c>
    </row>
    <row r="85" spans="1:1">
      <c r="A85">
        <v>0.56441457175419296</v>
      </c>
    </row>
    <row r="86" spans="1:1">
      <c r="A86">
        <v>0.23460517609832701</v>
      </c>
    </row>
    <row r="87" spans="1:1">
      <c r="A87">
        <v>0.379118203518093</v>
      </c>
    </row>
    <row r="88" spans="1:1">
      <c r="A88">
        <v>0.39825165458758499</v>
      </c>
    </row>
    <row r="89" spans="1:1">
      <c r="A89">
        <v>0.89559197134013202</v>
      </c>
    </row>
    <row r="90" spans="1:1">
      <c r="A90">
        <v>0.77179366296551299</v>
      </c>
    </row>
    <row r="91" spans="1:1">
      <c r="A91">
        <v>0.29757956093840998</v>
      </c>
    </row>
    <row r="92" spans="1:1">
      <c r="A92">
        <v>0.58345157564911998</v>
      </c>
    </row>
    <row r="93" spans="1:1">
      <c r="A93">
        <v>0.183642873265773</v>
      </c>
    </row>
    <row r="94" spans="1:1">
      <c r="A94">
        <v>1.28674789402501E-2</v>
      </c>
    </row>
    <row r="95" spans="1:1">
      <c r="A95">
        <v>0.18442141601106199</v>
      </c>
    </row>
    <row r="96" spans="1:1">
      <c r="A96">
        <v>0.88447180072164899</v>
      </c>
    </row>
    <row r="97" spans="1:1">
      <c r="A97">
        <v>0.60569295450235505</v>
      </c>
    </row>
    <row r="98" spans="1:1">
      <c r="A98">
        <v>0.599121407640548</v>
      </c>
    </row>
    <row r="99" spans="1:1">
      <c r="A99">
        <v>9.0102882340109505E-2</v>
      </c>
    </row>
    <row r="100" spans="1:1">
      <c r="A100">
        <v>7.3253139873709697E-2</v>
      </c>
    </row>
    <row r="101" spans="1:1">
      <c r="A101">
        <v>0.39774527886119099</v>
      </c>
    </row>
    <row r="102" spans="1:1">
      <c r="A102">
        <v>0.70434947158031402</v>
      </c>
    </row>
    <row r="103" spans="1:1">
      <c r="A103">
        <v>0.71077608699491301</v>
      </c>
    </row>
    <row r="104" spans="1:1">
      <c r="A104">
        <v>8.2368178041602097E-2</v>
      </c>
    </row>
    <row r="105" spans="1:1">
      <c r="A105">
        <v>0.556647685011047</v>
      </c>
    </row>
    <row r="106" spans="1:1">
      <c r="A106">
        <v>0.26547543200464002</v>
      </c>
    </row>
    <row r="107" spans="1:1">
      <c r="A107">
        <v>0.47678869058048901</v>
      </c>
    </row>
    <row r="108" spans="1:1">
      <c r="A108">
        <v>0.22542600650654601</v>
      </c>
    </row>
    <row r="109" spans="1:1">
      <c r="A109">
        <v>0.54663902268374298</v>
      </c>
    </row>
    <row r="110" spans="1:1">
      <c r="A110">
        <v>0.46873123990795801</v>
      </c>
    </row>
    <row r="111" spans="1:1">
      <c r="A111">
        <v>0.715141069240255</v>
      </c>
    </row>
    <row r="112" spans="1:1">
      <c r="A112">
        <v>0.269964923749617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9FB6B-8A78-4F91-B25B-9B3E0B9E5AFF}">
  <dimension ref="A1:V20"/>
  <sheetViews>
    <sheetView showGridLines="0" workbookViewId="0">
      <selection activeCell="P6" sqref="P6"/>
    </sheetView>
  </sheetViews>
  <sheetFormatPr defaultRowHeight="18.5"/>
  <cols>
    <col min="1" max="2" width="8.7265625" style="13"/>
    <col min="3" max="3" width="11.90625" style="13" customWidth="1"/>
    <col min="4" max="16384" width="8.7265625" style="13"/>
  </cols>
  <sheetData>
    <row r="1" spans="1:22">
      <c r="A1" s="12" t="s">
        <v>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22"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22">
      <c r="B3" s="14"/>
      <c r="C3" s="17" t="s">
        <v>16</v>
      </c>
      <c r="D3" s="17"/>
      <c r="E3" s="17"/>
      <c r="F3" s="17"/>
      <c r="G3" s="17"/>
      <c r="H3" s="17"/>
      <c r="I3" s="17"/>
      <c r="J3" s="17"/>
      <c r="K3" s="17"/>
      <c r="L3" s="17"/>
      <c r="M3" s="14"/>
      <c r="N3" s="14"/>
    </row>
    <row r="4" spans="1:22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22">
      <c r="B5" s="14"/>
      <c r="C5" s="15" t="s">
        <v>11</v>
      </c>
      <c r="D5" s="15"/>
      <c r="E5" s="15"/>
      <c r="F5" s="15"/>
      <c r="G5" s="15"/>
      <c r="H5" s="14"/>
      <c r="I5" s="14"/>
      <c r="J5" s="14"/>
      <c r="K5" s="14"/>
      <c r="L5" s="14"/>
      <c r="M5" s="14"/>
      <c r="N5" s="14"/>
    </row>
    <row r="6" spans="1:22">
      <c r="B6" s="14"/>
      <c r="C6" s="15" t="s">
        <v>22</v>
      </c>
      <c r="D6" s="15"/>
      <c r="E6" s="15"/>
      <c r="F6" s="15"/>
      <c r="G6" s="15"/>
      <c r="H6" s="14"/>
      <c r="I6" s="14"/>
      <c r="J6" s="14"/>
      <c r="K6" s="14"/>
      <c r="L6" s="14"/>
      <c r="M6" s="14"/>
      <c r="N6" s="14"/>
      <c r="P6" s="14"/>
    </row>
    <row r="7" spans="1:22">
      <c r="B7" s="14"/>
      <c r="C7" s="15" t="s">
        <v>18</v>
      </c>
      <c r="D7" s="15"/>
      <c r="E7" s="15"/>
      <c r="F7" s="15"/>
      <c r="G7" s="15"/>
      <c r="H7" s="14"/>
      <c r="I7" s="14"/>
      <c r="J7" s="14"/>
      <c r="K7" s="14"/>
      <c r="L7" s="14"/>
      <c r="M7" s="14"/>
      <c r="N7" s="14"/>
    </row>
    <row r="8" spans="1:22">
      <c r="B8" s="14"/>
      <c r="C8" s="15" t="s">
        <v>19</v>
      </c>
      <c r="D8" s="15"/>
      <c r="E8" s="15"/>
      <c r="F8" s="15"/>
      <c r="G8" s="15"/>
      <c r="H8" s="14"/>
      <c r="I8" s="14"/>
      <c r="J8" s="14"/>
      <c r="K8" s="14"/>
      <c r="L8" s="14"/>
      <c r="M8" s="14"/>
      <c r="N8" s="14"/>
    </row>
    <row r="9" spans="1:22">
      <c r="B9" s="14"/>
      <c r="C9" s="15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</row>
    <row r="10" spans="1:22">
      <c r="B10" s="14"/>
      <c r="C10" s="14" t="s">
        <v>12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 spans="1:22">
      <c r="B11" s="14"/>
      <c r="C11" s="14" t="s">
        <v>20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22">
      <c r="B12" s="14"/>
      <c r="C12" s="14" t="s">
        <v>21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spans="1:22">
      <c r="B13" s="14"/>
      <c r="C13" s="14" t="s">
        <v>13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</row>
    <row r="14" spans="1:22">
      <c r="B14" s="14"/>
      <c r="C14" s="14" t="s">
        <v>14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1:22">
      <c r="B15" s="14"/>
      <c r="C15" s="14" t="s">
        <v>15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spans="1:22">
      <c r="B16" s="14"/>
      <c r="C16" s="16" t="s">
        <v>17</v>
      </c>
      <c r="D16" s="16"/>
      <c r="E16" s="16"/>
      <c r="F16" s="16"/>
      <c r="G16" s="16"/>
      <c r="H16" s="16"/>
      <c r="I16" s="16"/>
      <c r="J16" s="16"/>
      <c r="K16" s="16"/>
      <c r="L16" s="14"/>
      <c r="M16" s="14"/>
      <c r="N16" s="14"/>
    </row>
    <row r="17" spans="2:14">
      <c r="B17" s="14"/>
      <c r="C17" s="16" t="s">
        <v>24</v>
      </c>
      <c r="D17" s="16" t="s">
        <v>23</v>
      </c>
      <c r="E17" s="16"/>
      <c r="F17" s="16"/>
      <c r="G17" s="16"/>
      <c r="H17" s="16"/>
      <c r="I17" s="16"/>
      <c r="J17" s="16"/>
      <c r="K17" s="16"/>
      <c r="L17" s="14"/>
      <c r="M17" s="14"/>
      <c r="N17" s="14"/>
    </row>
    <row r="18" spans="2:14"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2:14"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2:14"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2D179-68B6-4251-9501-C0856FAEECB8}">
  <dimension ref="A1:W17"/>
  <sheetViews>
    <sheetView topLeftCell="A5" workbookViewId="0">
      <selection activeCell="F20" sqref="F20"/>
    </sheetView>
  </sheetViews>
  <sheetFormatPr defaultRowHeight="14.5"/>
  <sheetData>
    <row r="1" spans="1:23" ht="21">
      <c r="A1" s="3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7"/>
      <c r="T1" s="7"/>
      <c r="U1" s="7"/>
      <c r="V1" s="7"/>
      <c r="W1" s="7"/>
    </row>
    <row r="3" spans="1:23" ht="18.5">
      <c r="A3" s="18" t="s">
        <v>25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23" ht="18.5">
      <c r="A4" s="13" t="s">
        <v>30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23" ht="18.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23" ht="17" customHeight="1">
      <c r="A6" s="19" t="s">
        <v>26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</row>
    <row r="7" spans="1:23" ht="16" customHeight="1">
      <c r="A7" s="18" t="s">
        <v>27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spans="1:23" ht="22.5" customHeight="1">
      <c r="A8" s="18" t="s">
        <v>28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spans="1:23" ht="17" customHeight="1">
      <c r="A9" s="18" t="s">
        <v>29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2" spans="1:23">
      <c r="B12" s="22"/>
      <c r="C12" s="23"/>
      <c r="D12" s="23"/>
      <c r="E12" s="23"/>
      <c r="F12" s="23"/>
      <c r="G12" s="23"/>
      <c r="H12" s="23"/>
      <c r="I12" s="24"/>
    </row>
    <row r="13" spans="1:23" ht="21">
      <c r="B13" s="25"/>
      <c r="C13" s="10"/>
      <c r="D13" s="10"/>
      <c r="E13" s="10" t="s">
        <v>32</v>
      </c>
      <c r="F13" s="44" t="s">
        <v>37</v>
      </c>
      <c r="G13" s="14" t="s">
        <v>38</v>
      </c>
      <c r="H13" s="14"/>
      <c r="I13" s="26"/>
      <c r="J13" s="32" t="s">
        <v>40</v>
      </c>
      <c r="K13" s="31"/>
      <c r="L13" s="31"/>
      <c r="M13" s="31"/>
      <c r="N13" s="31"/>
      <c r="O13" s="31"/>
      <c r="P13" s="31"/>
      <c r="Q13" s="13"/>
      <c r="R13" s="13"/>
      <c r="S13" s="13"/>
      <c r="T13" s="13"/>
    </row>
    <row r="14" spans="1:23" ht="21">
      <c r="B14" s="25"/>
      <c r="C14" s="10"/>
      <c r="D14" s="10"/>
      <c r="E14" s="10"/>
      <c r="F14" s="44" t="s">
        <v>31</v>
      </c>
      <c r="G14" s="14" t="s">
        <v>39</v>
      </c>
      <c r="H14" s="14"/>
      <c r="I14" s="26"/>
      <c r="J14" s="30" t="s">
        <v>41</v>
      </c>
      <c r="K14" s="31"/>
      <c r="L14" s="31"/>
      <c r="M14" s="31"/>
      <c r="N14" s="31"/>
      <c r="O14" s="31"/>
      <c r="P14" s="31"/>
      <c r="Q14" s="13"/>
      <c r="R14" s="13"/>
      <c r="S14" s="13"/>
      <c r="T14" s="13"/>
    </row>
    <row r="15" spans="1:23" ht="20.5">
      <c r="B15" s="25"/>
      <c r="C15" s="21"/>
      <c r="D15" s="10"/>
      <c r="E15" s="10"/>
      <c r="F15" s="45" t="s">
        <v>33</v>
      </c>
      <c r="G15" s="14" t="s">
        <v>35</v>
      </c>
      <c r="H15" s="14"/>
      <c r="I15" s="26"/>
      <c r="J15" s="33" t="s">
        <v>43</v>
      </c>
      <c r="K15" s="31"/>
      <c r="L15" s="31"/>
      <c r="M15" s="31"/>
      <c r="N15" s="31"/>
      <c r="O15" s="31"/>
      <c r="P15" s="31"/>
      <c r="Q15" s="13"/>
      <c r="R15" s="13"/>
      <c r="S15" s="13"/>
      <c r="T15" s="13"/>
    </row>
    <row r="16" spans="1:23" ht="20.5">
      <c r="B16" s="25"/>
      <c r="C16" s="10"/>
      <c r="D16" s="10"/>
      <c r="E16" s="10"/>
      <c r="F16" s="45" t="s">
        <v>34</v>
      </c>
      <c r="G16" s="14" t="s">
        <v>36</v>
      </c>
      <c r="H16" s="14"/>
      <c r="I16" s="26"/>
      <c r="J16" s="33" t="s">
        <v>44</v>
      </c>
      <c r="K16" s="31"/>
      <c r="L16" s="31"/>
      <c r="M16" s="31"/>
      <c r="N16" s="31"/>
      <c r="O16" s="31"/>
      <c r="P16" s="31"/>
      <c r="Q16" s="13"/>
      <c r="R16" s="13"/>
      <c r="S16" s="13"/>
      <c r="T16" s="13"/>
    </row>
    <row r="17" spans="2:21" ht="18.5">
      <c r="B17" s="27"/>
      <c r="C17" s="11"/>
      <c r="D17" s="11"/>
      <c r="E17" s="11"/>
      <c r="F17" s="11"/>
      <c r="G17" s="28"/>
      <c r="H17" s="28"/>
      <c r="I17" s="29"/>
      <c r="J17" s="31" t="s">
        <v>42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7AB40-11F0-4D15-9594-670A5A734FF5}">
  <dimension ref="A1:T8"/>
  <sheetViews>
    <sheetView workbookViewId="0">
      <selection activeCell="E12" sqref="E12"/>
    </sheetView>
  </sheetViews>
  <sheetFormatPr defaultRowHeight="18.5"/>
  <cols>
    <col min="1" max="4" width="8.7265625" style="13"/>
    <col min="5" max="5" width="22" style="13" customWidth="1"/>
    <col min="6" max="16384" width="8.7265625" style="13"/>
  </cols>
  <sheetData>
    <row r="1" spans="1:20">
      <c r="A1" s="35" t="s">
        <v>4</v>
      </c>
      <c r="B1" s="12"/>
      <c r="C1" s="12"/>
      <c r="D1" s="12"/>
      <c r="E1" s="12"/>
      <c r="F1" s="36"/>
    </row>
    <row r="3" spans="1:20">
      <c r="A3" s="31" t="s">
        <v>45</v>
      </c>
      <c r="B3" s="31"/>
      <c r="C3" s="31"/>
      <c r="D3" s="31"/>
      <c r="E3" s="31"/>
      <c r="F3" s="31" t="s">
        <v>47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</row>
    <row r="4" spans="1:20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</row>
    <row r="5" spans="1:20">
      <c r="A5" s="31" t="s">
        <v>46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</row>
    <row r="6" spans="1:20">
      <c r="A6" s="32" t="s">
        <v>48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</row>
    <row r="7" spans="1:20">
      <c r="A7" s="32" t="s">
        <v>49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</row>
    <row r="8" spans="1:20">
      <c r="A8" s="34" t="s">
        <v>50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F6C63-ECC5-49DD-BDEF-49D9B57996E0}">
  <dimension ref="A1:N11"/>
  <sheetViews>
    <sheetView workbookViewId="0">
      <selection activeCell="C15" sqref="C15"/>
    </sheetView>
  </sheetViews>
  <sheetFormatPr defaultRowHeight="14.5"/>
  <cols>
    <col min="2" max="2" width="13.7265625" customWidth="1"/>
  </cols>
  <sheetData>
    <row r="1" spans="1:14" ht="21">
      <c r="A1" s="3" t="s">
        <v>5</v>
      </c>
      <c r="B1" s="4"/>
      <c r="C1" s="4"/>
      <c r="D1" s="4"/>
      <c r="E1" s="4"/>
      <c r="F1" s="4"/>
      <c r="G1" s="4"/>
      <c r="H1" s="4"/>
      <c r="I1" s="4"/>
      <c r="J1" s="4"/>
      <c r="K1" s="4"/>
      <c r="L1" s="2"/>
      <c r="M1" s="2"/>
      <c r="N1" s="2"/>
    </row>
    <row r="3" spans="1:14" ht="18.5">
      <c r="A3" s="18" t="s">
        <v>51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4" ht="18.5">
      <c r="A4" s="13" t="s">
        <v>52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14" ht="18.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</row>
    <row r="6" spans="1:14" ht="18.5">
      <c r="A6" s="13"/>
      <c r="B6" s="13" t="s">
        <v>53</v>
      </c>
      <c r="C6" s="13" t="s">
        <v>55</v>
      </c>
      <c r="D6" s="13"/>
      <c r="E6" s="13"/>
      <c r="F6" s="13"/>
      <c r="G6" s="13"/>
      <c r="H6" s="13"/>
      <c r="I6" s="13"/>
      <c r="J6" s="13"/>
      <c r="K6" s="13"/>
      <c r="L6" s="13"/>
      <c r="M6" s="13"/>
    </row>
    <row r="7" spans="1:14" ht="18.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</row>
    <row r="8" spans="1:14" ht="18.5">
      <c r="A8" s="13"/>
      <c r="B8" s="13" t="s">
        <v>54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</row>
    <row r="9" spans="1:14" ht="18.5">
      <c r="A9" s="13"/>
      <c r="B9" s="13"/>
      <c r="C9" s="38" t="s">
        <v>56</v>
      </c>
      <c r="D9" s="39"/>
      <c r="E9" s="39"/>
      <c r="F9" s="40"/>
      <c r="G9" s="13"/>
      <c r="H9" s="13"/>
      <c r="I9" s="13"/>
      <c r="J9" s="13"/>
      <c r="K9" s="13"/>
      <c r="L9" s="13"/>
      <c r="M9" s="13"/>
    </row>
    <row r="10" spans="1:14" ht="18.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</row>
    <row r="11" spans="1:14" ht="18.5">
      <c r="A11" s="13"/>
      <c r="B11" s="31" t="s">
        <v>57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38061-C8AF-4A5C-8B14-7F84E100645E}">
  <dimension ref="A1:P6"/>
  <sheetViews>
    <sheetView tabSelected="1" workbookViewId="0">
      <selection activeCell="B3" sqref="B3"/>
    </sheetView>
  </sheetViews>
  <sheetFormatPr defaultRowHeight="14.5"/>
  <cols>
    <col min="3" max="3" width="17.7265625" customWidth="1"/>
  </cols>
  <sheetData>
    <row r="1" spans="1:16" ht="21">
      <c r="A1" s="3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7"/>
      <c r="O1" s="7"/>
      <c r="P1" s="7"/>
    </row>
    <row r="2" spans="1:16" ht="2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6">
      <c r="B3" s="41">
        <f>1 - _xlfn.BINOM.DIST(7, 15, 0.5, TRUE)</f>
        <v>0.5</v>
      </c>
    </row>
    <row r="4" spans="1:16">
      <c r="B4" s="37" t="s">
        <v>58</v>
      </c>
    </row>
    <row r="6" spans="1:16">
      <c r="C6" s="43" t="s">
        <v>59</v>
      </c>
      <c r="D6" s="4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0D73-F7CC-4652-866C-F0CAF90070BB}">
  <dimension ref="A1:Q8"/>
  <sheetViews>
    <sheetView workbookViewId="0">
      <selection activeCell="D11" sqref="D11"/>
    </sheetView>
  </sheetViews>
  <sheetFormatPr defaultRowHeight="14.5"/>
  <sheetData>
    <row r="1" spans="1:17" ht="21">
      <c r="A1" s="3" t="s">
        <v>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7"/>
      <c r="N1" s="7"/>
      <c r="O1" s="7"/>
      <c r="P1" s="5"/>
    </row>
    <row r="3" spans="1:17" ht="18.5">
      <c r="A3" s="13" t="s">
        <v>60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 spans="1:17" ht="18.5">
      <c r="A4" s="13" t="s">
        <v>61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</row>
    <row r="5" spans="1:17" ht="18.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 ht="18.5">
      <c r="A6" s="13"/>
      <c r="B6" s="31" t="s">
        <v>62</v>
      </c>
      <c r="C6" s="31"/>
      <c r="D6" s="31"/>
      <c r="E6" s="31"/>
      <c r="F6" s="31"/>
      <c r="G6" s="31"/>
      <c r="H6" s="31"/>
      <c r="I6" s="31"/>
      <c r="J6" s="31"/>
      <c r="K6" s="13"/>
      <c r="L6" s="13"/>
      <c r="M6" s="13"/>
      <c r="N6" s="13"/>
      <c r="O6" s="13"/>
      <c r="P6" s="13"/>
      <c r="Q6" s="13"/>
    </row>
    <row r="7" spans="1:17" ht="18.5">
      <c r="A7" s="13"/>
      <c r="B7" s="31" t="s">
        <v>64</v>
      </c>
      <c r="C7" s="31"/>
      <c r="D7" s="31"/>
      <c r="E7" s="31"/>
      <c r="F7" s="31"/>
      <c r="G7" s="31"/>
      <c r="H7" s="31"/>
      <c r="I7" s="31"/>
      <c r="J7" s="31"/>
      <c r="K7" s="13"/>
      <c r="L7" s="13"/>
      <c r="M7" s="13"/>
      <c r="N7" s="13"/>
      <c r="O7" s="13"/>
      <c r="P7" s="13"/>
      <c r="Q7" s="13"/>
    </row>
    <row r="8" spans="1:17" ht="18.5">
      <c r="A8" s="13"/>
      <c r="B8" s="31" t="s">
        <v>63</v>
      </c>
      <c r="C8" s="31"/>
      <c r="D8" s="31"/>
      <c r="E8" s="31"/>
      <c r="F8" s="31"/>
      <c r="G8" s="31"/>
      <c r="H8" s="31"/>
      <c r="I8" s="31"/>
      <c r="J8" s="31"/>
      <c r="K8" s="13"/>
      <c r="L8" s="13"/>
      <c r="M8" s="13"/>
      <c r="N8" s="13"/>
      <c r="O8" s="13"/>
      <c r="P8" s="13"/>
      <c r="Q8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 1</vt:lpstr>
      <vt:lpstr>Ques 2</vt:lpstr>
      <vt:lpstr>Ques 3</vt:lpstr>
      <vt:lpstr>Ques 4</vt:lpstr>
      <vt:lpstr>Ques 5</vt:lpstr>
      <vt:lpstr>Ques 6</vt:lpstr>
      <vt:lpstr>Ques 7</vt:lpstr>
      <vt:lpstr>Ques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 Goel</dc:creator>
  <cp:lastModifiedBy>Devansh Goel</cp:lastModifiedBy>
  <dcterms:created xsi:type="dcterms:W3CDTF">2026-01-07T07:34:07Z</dcterms:created>
  <dcterms:modified xsi:type="dcterms:W3CDTF">2026-01-08T08:06:03Z</dcterms:modified>
</cp:coreProperties>
</file>